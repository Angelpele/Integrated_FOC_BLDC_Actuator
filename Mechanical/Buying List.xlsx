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_BLDC\Mechanical\"/>
    </mc:Choice>
  </mc:AlternateContent>
  <xr:revisionPtr revIDLastSave="0" documentId="13_ncr:1_{2DF5D17A-30EF-4F7D-8806-47D19973AA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H11" i="1"/>
  <c r="H12" i="1"/>
  <c r="H3" i="1" l="1"/>
  <c r="H4" i="1"/>
  <c r="H5" i="1"/>
  <c r="H7" i="1"/>
  <c r="H8" i="1"/>
  <c r="H9" i="1"/>
  <c r="H10" i="1"/>
  <c r="H13" i="1"/>
  <c r="C2" i="1"/>
  <c r="H2" i="1" s="1"/>
  <c r="H23" i="1" l="1"/>
</calcChain>
</file>

<file path=xl/sharedStrings.xml><?xml version="1.0" encoding="utf-8"?>
<sst xmlns="http://schemas.openxmlformats.org/spreadsheetml/2006/main" count="81" uniqueCount="45">
  <si>
    <t>Component</t>
  </si>
  <si>
    <t>Supplier</t>
  </si>
  <si>
    <t>Link</t>
  </si>
  <si>
    <t>Unit Price</t>
  </si>
  <si>
    <t>Quantity</t>
  </si>
  <si>
    <t>Shipping Costs</t>
  </si>
  <si>
    <t>N42 Neodymium Diametrically Magnetised Disc Magnet - 1/4 in. dia x 1/32 in. thick (Pack of 10)</t>
  </si>
  <si>
    <t>First 4 Magnets</t>
  </si>
  <si>
    <t>Total</t>
  </si>
  <si>
    <t>https://www.first4magnets.com/us/product/n42-neodymium-diametrically-magnetised-disc-magnet-1-4-in-dia-x-1-32-in-thick-20413?variant=1151</t>
  </si>
  <si>
    <t>https://qwinout.com/products/qwinout-high-performance-5010-750kv-disk-brushless-motor-with-bullet-cap-mount-for-diy-fpv-drone-hexacopter-quadcopter-multicopter?variant=37167971991701</t>
  </si>
  <si>
    <t>QWinOut High Performance 5010 750KV Disk Brushless Motor with Bullet Cap Mount for DIY FPV Drone Hexacopter Quadcopter MultiCopter</t>
  </si>
  <si>
    <t>QWinOut</t>
  </si>
  <si>
    <t>Male Female Threaded Hex Standoff 6 mm long, M3 x 0.5 mm</t>
  </si>
  <si>
    <t xml:space="preserve">HIVE </t>
  </si>
  <si>
    <t>(Take more for more motors)</t>
  </si>
  <si>
    <t>https://es.aliexpress.com/item/1005009576693979.html?spm=a2g0o.productlist.main.6.1a877b3c2Fn66T&amp;algo_pvid=783ef9cf-4d19-4659-b80d-1c10f7e1e8c5&amp;algo_exp_id=783ef9cf-4d19-4659-b80d-1c10f7e1e8c5-5&amp;pdp_ext_f=%7B%22order%22%3A%2225%22%2C%22eval%22%3A%221%22%2C%22fromPage%22%3A%22search%22%7D&amp;pdp_npi=6%40dis%21EUR%212.12%211.80%21%21%2117.06%2114.50%21%402101ea8c17620079193144001e08bb%2112000049516358233%21sea%21ES%210%21ABX%211%210%21n_tag%3A-29910%3Bd%3A89c66183%3Bm03_new_user%3A-29895&amp;curPageLogUid=N1LNBeR6Cvw2&amp;utparam-url=scene%3Asearch%7Cquery_from%3A%7Cx_object_id%3A1005009576693979%7C_p_origin_prod%3A</t>
  </si>
  <si>
    <t>Pedido LCSC Components</t>
  </si>
  <si>
    <t>Pedido PCBs</t>
  </si>
  <si>
    <t>LCSC</t>
  </si>
  <si>
    <t>AliExpress</t>
  </si>
  <si>
    <t>https://es.aliexpress.com/item/1005006952693027.html?spm=a2g0o.productlist.main.1.4f522d0btKQSeK&amp;algo_pvid=2248b353-f7c5-4f47-9a82-36cc6acbe0ea&amp;algo_exp_id=2248b353-f7c5-4f47-9a82-36cc6acbe0ea-0&amp;pdp_ext_f=%7B%22order%22%3A%2292%22%2C%22eval%22%3A%221%22%2C%22fromPage%22%3A%22search%22%7D&amp;pdp_npi=6%40dis%21USD%216.64%210.99%21%21%2146.96%217.00%21%402101c44f17620074840681032ec5cf%2112000050577734593%21sea%21US%210%21ABX%211%210%21n_tag%3A-29910%3Bd%3A9e591d6%3Bm03_new_user%3A-29895%3BpisId%3A5000000187461913&amp;curPageLogUid=Fww5FcILrGbL&amp;utparam-url=scene%3Asearch%7Cquery_from%3A%7Cx_object_id%3A1005006952693027%7C_p_origin_prod%3A&amp;gatewayAdapt=usa2esp4itemAdapt</t>
  </si>
  <si>
    <t>https://es.aliexpress.com/item/1005009747825955.html?spm=a2g0o.productlist.main.1.6e677f6fN1wsYM&amp;algo_pvid=cfecfe3a-19c9-41d0-a522-07a659d90927&amp;algo_exp_id=cfecfe3a-19c9-41d0-a522-07a659d90927-0&amp;pdp_ext_f=%7B%22order%22%3A%22272%22%2C%22eval%22%3A%221%22%2C%22fromPage%22%3A%22search%22%7D&amp;pdp_npi=6%40dis%21EUR%212.15%210.99%21%21%2117.25%217.97%21%402101f54117624697608408331ec780%2112000050118769172%21sea%21ES%210%21ABX%211%210%21n_tag%3A-29910%3Bd%3A89c66183%3Bm03_new_user%3A-29895%3BpisId%3A5000000187623938&amp;curPageLogUid=bQdaNbMqlH2g&amp;utparam-url=scene%3Asearch%7Cquery_from%3A%7Cx_object_id%3A1005009747825955%7C_p_origin_prod%3A</t>
  </si>
  <si>
    <t>Purchased</t>
  </si>
  <si>
    <t>Arrived</t>
  </si>
  <si>
    <t>Yes</t>
  </si>
  <si>
    <t>No</t>
  </si>
  <si>
    <t>Inner shaft</t>
  </si>
  <si>
    <t>Invention - Aluminum</t>
  </si>
  <si>
    <t>Rodamiento 35x44x5mm - 2 units</t>
  </si>
  <si>
    <t>Rodamiento BEC-7 12x18x4mm 6701RS - 10 units</t>
  </si>
  <si>
    <t>Cycloidal Disc 1</t>
  </si>
  <si>
    <t>Cycloidal Disc 2</t>
  </si>
  <si>
    <t>BHSBHCS ASME B18.3.4M - M3 x 0.5 x 3 Steel Grade 2 Plain</t>
  </si>
  <si>
    <t>Senior Lab</t>
  </si>
  <si>
    <t>BHSBHCS ASME B18.3.4M - M3 x 0.5 x 4 Steel Grade 2 Plain</t>
  </si>
  <si>
    <t>Hexagon Socket Head Cap Screw ISO 4762 - M2 x 14 Steel 4.6 Plain</t>
  </si>
  <si>
    <t>Invention</t>
  </si>
  <si>
    <t>Hexagon = Cylindrical head + allen socket</t>
  </si>
  <si>
    <t>ASME = Rounded head + allen socket</t>
  </si>
  <si>
    <t>Printed Cycloidal PLA</t>
  </si>
  <si>
    <t>Hexagon Socket Head Cap Screw ISO 4762 - M2 x 8 Steel 4.6 Plain</t>
  </si>
  <si>
    <t>Hexagon Socket Head- M3 x 0.5 x 45 Steel Grade 2 Plain (48 mm rosca)</t>
  </si>
  <si>
    <t>6x12mm Solid Pins 30 Units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</si>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</sst>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wrapText="1"/>
    </xf>
    <xf numFmtId="0" fontId="1" fillId="0" borderId="2" xfId="0" applyFont="1" applyBorder="1"/>
    <xf numFmtId="164" fontId="1" fillId="0" borderId="2" xfId="0" applyNumberFormat="1" applyFont="1" applyBorder="1"/>
    <xf numFmtId="164" fontId="1" fillId="0" borderId="8" xfId="0" applyNumberFormat="1" applyFont="1" applyBorder="1"/>
    <xf numFmtId="0" fontId="1" fillId="0" borderId="0" xfId="0" applyFont="1"/>
    <xf numFmtId="0" fontId="1" fillId="0" borderId="6" xfId="0" applyFont="1" applyBorder="1"/>
    <xf numFmtId="164" fontId="1" fillId="0" borderId="0" xfId="0" applyNumberFormat="1" applyFont="1"/>
    <xf numFmtId="164" fontId="1" fillId="0" borderId="7" xfId="0" applyNumberFormat="1" applyFont="1" applyBorder="1"/>
    <xf numFmtId="0" fontId="2" fillId="0" borderId="0" xfId="0" applyFont="1" applyAlignment="1">
      <alignment wrapText="1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1"/>
    <xf numFmtId="164" fontId="0" fillId="0" borderId="6" xfId="0" applyNumberFormat="1" applyBorder="1"/>
    <xf numFmtId="164" fontId="0" fillId="0" borderId="4" xfId="0" applyNumberForma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164" fontId="4" fillId="0" borderId="8" xfId="0" applyNumberFormat="1" applyFont="1" applyBorder="1"/>
    <xf numFmtId="164" fontId="4" fillId="0" borderId="7" xfId="0" applyNumberFormat="1" applyFont="1" applyBorder="1"/>
    <xf numFmtId="164" fontId="1" fillId="0" borderId="9" xfId="0" applyNumberFormat="1" applyFont="1" applyBorder="1"/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color rgb="FF92D050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13999-89B8-4DCA-AAEB-0496B38A0B13}" name="Table1" displayName="Table1" ref="A1:I23" totalsRowCount="1" headerRowDxfId="22" dataDxfId="20" headerRowBorderDxfId="21" tableBorderDxfId="19">
  <autoFilter ref="A1:I22" xr:uid="{57113999-89B8-4DCA-AAEB-0496B38A0B13}"/>
  <tableColumns count="9">
    <tableColumn id="1" xr3:uid="{C01A5BB4-2776-4DA4-B397-20536FB6B151}" name="Component" dataDxfId="18" totalsRowDxfId="8"/>
    <tableColumn id="2" xr3:uid="{D16A6BB5-FB54-4A08-8F36-6F894F571CA2}" name="Supplier" dataDxfId="17" totalsRowDxfId="7"/>
    <tableColumn id="3" xr3:uid="{13E6D449-D029-4B98-A474-567EF4C137DD}" name="Unit Price" dataDxfId="16" totalsRowDxfId="6"/>
    <tableColumn id="4" xr3:uid="{BFC6BC80-26FB-482F-B354-EBAC0B59B079}" name="Quantity" dataDxfId="15" totalsRowDxfId="5"/>
    <tableColumn id="5" xr3:uid="{E17DAC7E-1E39-4AF4-8109-E85C3BEA4D94}" name="Shipping Costs" dataDxfId="14" totalsRowDxfId="4"/>
    <tableColumn id="10" xr3:uid="{80648434-14FA-49B4-BA1C-C16B6DFD9A61}" name="Purchased" dataDxfId="13" totalsRowDxfId="3"/>
    <tableColumn id="9" xr3:uid="{2A4D153E-2215-40C4-B217-8FADF5785568}" name="Arrived" dataDxfId="12" totalsRowDxfId="2"/>
    <tableColumn id="6" xr3:uid="{9BE18441-967B-45FF-8A88-16AF220F7381}" name="Total" totalsRowFunction="custom" dataDxfId="11" totalsRowDxfId="1">
      <calculatedColumnFormula>Table1[[#This Row],[Unit Price]]*Table1[[#This Row],[Quantity]]+Table1[[#This Row],[Shipping Costs]]</calculatedColumnFormula>
      <totalsRowFormula>SUM(Table1[Total])</totalsRowFormula>
    </tableColumn>
    <tableColumn id="7" xr3:uid="{B8F06C12-DD71-45A3-886F-8113BE8A9BDA}" name="Link" dataDxfId="10" totalsRow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irst4magnets.com/us/product/n42-neodymium-diametrically-magnetised-disc-magnet-1-4-in-dia-x-1-32-in-thick-20413?variant=1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2" zoomScale="114" zoomScaleNormal="130" workbookViewId="0">
      <selection activeCell="I17" sqref="I17"/>
    </sheetView>
  </sheetViews>
  <sheetFormatPr defaultRowHeight="14.4" x14ac:dyDescent="0.3"/>
  <cols>
    <col min="1" max="1" width="58.109375" customWidth="1"/>
    <col min="2" max="2" width="18.33203125" customWidth="1"/>
    <col min="3" max="3" width="11.21875" style="1" customWidth="1"/>
    <col min="4" max="4" width="12.44140625" customWidth="1"/>
    <col min="5" max="5" width="16.6640625" style="1" customWidth="1"/>
    <col min="6" max="6" width="11.21875" style="1" customWidth="1"/>
    <col min="7" max="7" width="11.109375" style="1" customWidth="1"/>
    <col min="9" max="9" width="166.44140625" customWidth="1"/>
  </cols>
  <sheetData>
    <row r="1" spans="1:9" x14ac:dyDescent="0.3">
      <c r="A1" s="4" t="s">
        <v>0</v>
      </c>
      <c r="B1" s="2" t="s">
        <v>1</v>
      </c>
      <c r="C1" s="3" t="s">
        <v>3</v>
      </c>
      <c r="D1" s="2" t="s">
        <v>4</v>
      </c>
      <c r="E1" s="21" t="s">
        <v>5</v>
      </c>
      <c r="F1" s="20" t="s">
        <v>23</v>
      </c>
      <c r="G1" s="20" t="s">
        <v>24</v>
      </c>
      <c r="H1" s="5" t="s">
        <v>8</v>
      </c>
      <c r="I1" s="6" t="s">
        <v>2</v>
      </c>
    </row>
    <row r="2" spans="1:9" ht="24.6" x14ac:dyDescent="0.3">
      <c r="A2" s="7" t="s">
        <v>6</v>
      </c>
      <c r="B2" s="8" t="s">
        <v>7</v>
      </c>
      <c r="C2" s="9">
        <f>3.85</f>
        <v>3.85</v>
      </c>
      <c r="D2" s="8">
        <v>1</v>
      </c>
      <c r="E2" s="9">
        <v>7</v>
      </c>
      <c r="F2" s="22" t="s">
        <v>25</v>
      </c>
      <c r="G2" s="24" t="s">
        <v>25</v>
      </c>
      <c r="H2" s="10">
        <f>Table1[[#This Row],[Unit Price]]*Table1[[#This Row],[Quantity]]+Table1[[#This Row],[Shipping Costs]]</f>
        <v>10.85</v>
      </c>
      <c r="I2" s="19" t="s">
        <v>9</v>
      </c>
    </row>
    <row r="3" spans="1:9" ht="36.6" x14ac:dyDescent="0.3">
      <c r="A3" s="15" t="s">
        <v>11</v>
      </c>
      <c r="B3" s="11" t="s">
        <v>12</v>
      </c>
      <c r="C3" s="13">
        <v>17.05</v>
      </c>
      <c r="D3" s="11">
        <v>2</v>
      </c>
      <c r="E3" s="13">
        <v>0</v>
      </c>
      <c r="F3" s="23" t="s">
        <v>26</v>
      </c>
      <c r="G3" s="25" t="s">
        <v>26</v>
      </c>
      <c r="H3" s="14">
        <f>Table1[[#This Row],[Unit Price]]*Table1[[#This Row],[Quantity]]+Table1[[#This Row],[Shipping Costs]]</f>
        <v>34.1</v>
      </c>
      <c r="I3" s="11" t="s">
        <v>10</v>
      </c>
    </row>
    <row r="4" spans="1:9" ht="24.6" x14ac:dyDescent="0.3">
      <c r="A4" s="17" t="s">
        <v>13</v>
      </c>
      <c r="B4" s="18" t="s">
        <v>14</v>
      </c>
      <c r="C4" s="13">
        <v>0</v>
      </c>
      <c r="D4" s="11">
        <v>8</v>
      </c>
      <c r="E4" s="13">
        <v>0</v>
      </c>
      <c r="F4" s="23" t="s">
        <v>25</v>
      </c>
      <c r="G4" s="25" t="s">
        <v>25</v>
      </c>
      <c r="H4" s="14">
        <f>Table1[[#This Row],[Unit Price]]*Table1[[#This Row],[Quantity]]+Table1[[#This Row],[Shipping Costs]]</f>
        <v>0</v>
      </c>
      <c r="I4" s="11" t="s">
        <v>15</v>
      </c>
    </row>
    <row r="5" spans="1:9" x14ac:dyDescent="0.3">
      <c r="A5" s="16" t="s">
        <v>43</v>
      </c>
      <c r="B5" s="11" t="s">
        <v>20</v>
      </c>
      <c r="C5" s="13">
        <v>3.71</v>
      </c>
      <c r="D5" s="11">
        <v>3</v>
      </c>
      <c r="E5" s="13">
        <v>1</v>
      </c>
      <c r="F5" s="23" t="s">
        <v>25</v>
      </c>
      <c r="G5" s="25" t="s">
        <v>25</v>
      </c>
      <c r="H5" s="14">
        <f>Table1[[#This Row],[Unit Price]]*Table1[[#This Row],[Quantity]]+Table1[[#This Row],[Shipping Costs]]</f>
        <v>12.129999999999999</v>
      </c>
      <c r="I5" s="11" t="s">
        <v>16</v>
      </c>
    </row>
    <row r="6" spans="1:9" x14ac:dyDescent="0.3">
      <c r="A6" s="12" t="s">
        <v>17</v>
      </c>
      <c r="B6" s="11" t="s">
        <v>19</v>
      </c>
      <c r="C6" s="13">
        <v>61.53</v>
      </c>
      <c r="D6" s="11">
        <v>1</v>
      </c>
      <c r="E6" s="13"/>
      <c r="F6" s="23" t="s">
        <v>25</v>
      </c>
      <c r="G6" s="25" t="s">
        <v>26</v>
      </c>
      <c r="H6" s="14">
        <v>64.11</v>
      </c>
      <c r="I6" s="11"/>
    </row>
    <row r="7" spans="1:9" x14ac:dyDescent="0.3">
      <c r="A7" s="12" t="s">
        <v>18</v>
      </c>
      <c r="B7" s="11" t="s">
        <v>44</v>
      </c>
      <c r="C7" s="13">
        <v>13.23</v>
      </c>
      <c r="D7" s="11">
        <v>1</v>
      </c>
      <c r="E7" s="13"/>
      <c r="F7" s="23" t="s">
        <v>25</v>
      </c>
      <c r="G7" s="25" t="s">
        <v>26</v>
      </c>
      <c r="H7" s="14">
        <f>Table1[[#This Row],[Unit Price]]*Table1[[#This Row],[Quantity]]+Table1[[#This Row],[Shipping Costs]]</f>
        <v>13.23</v>
      </c>
      <c r="I7" s="11"/>
    </row>
    <row r="8" spans="1:9" x14ac:dyDescent="0.3">
      <c r="A8" s="16" t="s">
        <v>29</v>
      </c>
      <c r="B8" s="11" t="s">
        <v>20</v>
      </c>
      <c r="C8" s="13">
        <v>2.68</v>
      </c>
      <c r="D8" s="11">
        <v>2</v>
      </c>
      <c r="E8" s="13">
        <v>0</v>
      </c>
      <c r="F8" s="23" t="s">
        <v>25</v>
      </c>
      <c r="G8" s="25" t="s">
        <v>26</v>
      </c>
      <c r="H8" s="14">
        <f>Table1[[#This Row],[Unit Price]]*Table1[[#This Row],[Quantity]]+Table1[[#This Row],[Shipping Costs]]</f>
        <v>5.36</v>
      </c>
      <c r="I8" s="11" t="s">
        <v>22</v>
      </c>
    </row>
    <row r="9" spans="1:9" x14ac:dyDescent="0.3">
      <c r="A9" s="16" t="s">
        <v>30</v>
      </c>
      <c r="B9" s="11" t="s">
        <v>20</v>
      </c>
      <c r="C9" s="13">
        <v>2.11</v>
      </c>
      <c r="D9" s="11">
        <v>2</v>
      </c>
      <c r="E9" s="13">
        <v>0</v>
      </c>
      <c r="F9" s="23" t="s">
        <v>25</v>
      </c>
      <c r="G9" s="25">
        <v>1</v>
      </c>
      <c r="H9" s="14">
        <f>Table1[[#This Row],[Unit Price]]*Table1[[#This Row],[Quantity]]+Table1[[#This Row],[Shipping Costs]]</f>
        <v>4.22</v>
      </c>
      <c r="I9" s="11" t="s">
        <v>21</v>
      </c>
    </row>
    <row r="10" spans="1:9" x14ac:dyDescent="0.3">
      <c r="A10" s="12" t="s">
        <v>40</v>
      </c>
      <c r="B10" s="11" t="s">
        <v>14</v>
      </c>
      <c r="C10" s="13"/>
      <c r="D10" s="11">
        <v>1</v>
      </c>
      <c r="E10" s="13"/>
      <c r="F10" s="23" t="s">
        <v>25</v>
      </c>
      <c r="G10" s="25" t="s">
        <v>25</v>
      </c>
      <c r="H10" s="14">
        <f>Table1[[#This Row],[Unit Price]]*Table1[[#This Row],[Quantity]]+Table1[[#This Row],[Shipping Costs]]</f>
        <v>0</v>
      </c>
      <c r="I10" s="11"/>
    </row>
    <row r="11" spans="1:9" x14ac:dyDescent="0.3">
      <c r="A11" s="12" t="s">
        <v>27</v>
      </c>
      <c r="B11" s="11" t="s">
        <v>28</v>
      </c>
      <c r="C11" s="13">
        <v>0</v>
      </c>
      <c r="D11" s="11">
        <v>4</v>
      </c>
      <c r="E11" s="13">
        <v>0</v>
      </c>
      <c r="F11" s="23" t="s">
        <v>26</v>
      </c>
      <c r="G11" s="25" t="s">
        <v>26</v>
      </c>
      <c r="H11" s="26">
        <f>Table1[[#This Row],[Unit Price]]*Table1[[#This Row],[Quantity]]+Table1[[#This Row],[Shipping Costs]]</f>
        <v>0</v>
      </c>
      <c r="I11" s="11"/>
    </row>
    <row r="12" spans="1:9" x14ac:dyDescent="0.3">
      <c r="A12" s="12" t="s">
        <v>31</v>
      </c>
      <c r="B12" s="11" t="s">
        <v>28</v>
      </c>
      <c r="C12" s="13">
        <v>0</v>
      </c>
      <c r="D12" s="11">
        <v>4</v>
      </c>
      <c r="E12" s="13">
        <v>0</v>
      </c>
      <c r="F12" s="23" t="s">
        <v>26</v>
      </c>
      <c r="G12" s="25" t="s">
        <v>26</v>
      </c>
      <c r="H12" s="26">
        <f>Table1[[#This Row],[Unit Price]]*Table1[[#This Row],[Quantity]]+Table1[[#This Row],[Shipping Costs]]</f>
        <v>0</v>
      </c>
      <c r="I12" s="11"/>
    </row>
    <row r="13" spans="1:9" x14ac:dyDescent="0.3">
      <c r="A13" s="12" t="s">
        <v>32</v>
      </c>
      <c r="B13" s="11" t="s">
        <v>28</v>
      </c>
      <c r="C13" s="13">
        <v>0</v>
      </c>
      <c r="D13" s="11">
        <v>4</v>
      </c>
      <c r="E13" s="13">
        <v>0</v>
      </c>
      <c r="F13" s="23" t="s">
        <v>26</v>
      </c>
      <c r="G13" s="25" t="s">
        <v>26</v>
      </c>
      <c r="H13" s="14">
        <f>Table1[[#This Row],[Unit Price]]*Table1[[#This Row],[Quantity]]+Table1[[#This Row],[Shipping Costs]]</f>
        <v>0</v>
      </c>
      <c r="I13" s="11"/>
    </row>
    <row r="14" spans="1:9" x14ac:dyDescent="0.3">
      <c r="A14" s="12" t="s">
        <v>33</v>
      </c>
      <c r="B14" s="11" t="s">
        <v>34</v>
      </c>
      <c r="C14" s="13">
        <v>0</v>
      </c>
      <c r="D14" s="11">
        <v>16</v>
      </c>
      <c r="E14" s="13">
        <v>0</v>
      </c>
      <c r="F14" s="23" t="s">
        <v>26</v>
      </c>
      <c r="G14" s="25">
        <v>8</v>
      </c>
      <c r="H14" s="26">
        <f>Table1[[#This Row],[Unit Price]]*Table1[[#This Row],[Quantity]]+Table1[[#This Row],[Shipping Costs]]</f>
        <v>0</v>
      </c>
      <c r="I14" s="11"/>
    </row>
    <row r="15" spans="1:9" x14ac:dyDescent="0.3">
      <c r="A15" s="12" t="s">
        <v>35</v>
      </c>
      <c r="B15" s="11" t="s">
        <v>34</v>
      </c>
      <c r="C15" s="13">
        <v>0</v>
      </c>
      <c r="D15" s="11">
        <v>16</v>
      </c>
      <c r="E15" s="13">
        <v>0</v>
      </c>
      <c r="F15" s="23" t="s">
        <v>26</v>
      </c>
      <c r="G15" s="25">
        <v>4</v>
      </c>
      <c r="H15" s="26">
        <f>Table1[[#This Row],[Unit Price]]*Table1[[#This Row],[Quantity]]+Table1[[#This Row],[Shipping Costs]]</f>
        <v>0</v>
      </c>
      <c r="I15" s="11"/>
    </row>
    <row r="16" spans="1:9" x14ac:dyDescent="0.3">
      <c r="A16" s="12" t="s">
        <v>36</v>
      </c>
      <c r="B16" s="11" t="s">
        <v>37</v>
      </c>
      <c r="C16" s="13">
        <v>0</v>
      </c>
      <c r="D16" s="11">
        <v>8</v>
      </c>
      <c r="E16" s="13">
        <v>0</v>
      </c>
      <c r="F16" s="23" t="s">
        <v>25</v>
      </c>
      <c r="G16" s="25" t="s">
        <v>25</v>
      </c>
      <c r="H16" s="26">
        <f>Table1[[#This Row],[Unit Price]]*Table1[[#This Row],[Quantity]]+Table1[[#This Row],[Shipping Costs]]</f>
        <v>0</v>
      </c>
      <c r="I16" s="11"/>
    </row>
    <row r="17" spans="1:9" x14ac:dyDescent="0.3">
      <c r="A17" s="12" t="s">
        <v>42</v>
      </c>
      <c r="B17" s="11" t="s">
        <v>37</v>
      </c>
      <c r="C17" s="13">
        <v>0</v>
      </c>
      <c r="D17" s="11">
        <v>20</v>
      </c>
      <c r="E17" s="13">
        <v>0</v>
      </c>
      <c r="F17" s="23" t="s">
        <v>25</v>
      </c>
      <c r="G17" s="25" t="s">
        <v>25</v>
      </c>
      <c r="H17" s="26">
        <f>Table1[[#This Row],[Unit Price]]*Table1[[#This Row],[Quantity]]+Table1[[#This Row],[Shipping Costs]]</f>
        <v>0</v>
      </c>
      <c r="I17" s="11"/>
    </row>
    <row r="18" spans="1:9" x14ac:dyDescent="0.3">
      <c r="A18" s="12" t="s">
        <v>41</v>
      </c>
      <c r="B18" s="11" t="s">
        <v>37</v>
      </c>
      <c r="C18" s="13">
        <v>0</v>
      </c>
      <c r="D18" s="11">
        <v>16</v>
      </c>
      <c r="E18" s="13">
        <v>0</v>
      </c>
      <c r="F18" s="23" t="s">
        <v>26</v>
      </c>
      <c r="G18" s="25">
        <v>11</v>
      </c>
      <c r="H18" s="26">
        <f>Table1[[#This Row],[Unit Price]]*Table1[[#This Row],[Quantity]]+Table1[[#This Row],[Shipping Costs]]</f>
        <v>0</v>
      </c>
      <c r="I18" s="11"/>
    </row>
    <row r="19" spans="1:9" x14ac:dyDescent="0.3">
      <c r="A19" s="12"/>
      <c r="B19" s="11"/>
      <c r="C19" s="13"/>
      <c r="D19" s="11"/>
      <c r="E19" s="13"/>
      <c r="F19" s="23"/>
      <c r="G19" s="25"/>
      <c r="H19" s="26">
        <f>Table1[[#This Row],[Unit Price]]*Table1[[#This Row],[Quantity]]+Table1[[#This Row],[Shipping Costs]]</f>
        <v>0</v>
      </c>
      <c r="I19" s="11"/>
    </row>
    <row r="20" spans="1:9" x14ac:dyDescent="0.3">
      <c r="A20" s="12" t="s">
        <v>38</v>
      </c>
      <c r="B20" s="11"/>
      <c r="C20" s="13"/>
      <c r="D20" s="11"/>
      <c r="E20" s="13"/>
      <c r="F20" s="23"/>
      <c r="G20" s="25"/>
      <c r="H20" s="26">
        <f>Table1[[#This Row],[Unit Price]]*Table1[[#This Row],[Quantity]]+Table1[[#This Row],[Shipping Costs]]</f>
        <v>0</v>
      </c>
      <c r="I20" s="11"/>
    </row>
    <row r="21" spans="1:9" x14ac:dyDescent="0.3">
      <c r="A21" s="12" t="s">
        <v>39</v>
      </c>
      <c r="B21" s="11"/>
      <c r="C21" s="13"/>
      <c r="D21" s="11"/>
      <c r="E21" s="13"/>
      <c r="F21" s="23"/>
      <c r="G21" s="25"/>
      <c r="H21" s="26">
        <f>Table1[[#This Row],[Unit Price]]*Table1[[#This Row],[Quantity]]+Table1[[#This Row],[Shipping Costs]]</f>
        <v>0</v>
      </c>
      <c r="I21" s="11"/>
    </row>
    <row r="22" spans="1:9" x14ac:dyDescent="0.3">
      <c r="A22" s="12"/>
      <c r="B22" s="11"/>
      <c r="C22" s="13"/>
      <c r="D22" s="11"/>
      <c r="E22" s="13"/>
      <c r="F22" s="23"/>
      <c r="G22" s="25"/>
      <c r="H22" s="14">
        <f>Table1[[#This Row],[Unit Price]]*Table1[[#This Row],[Quantity]]+Table1[[#This Row],[Shipping Costs]]</f>
        <v>0</v>
      </c>
      <c r="I22" s="11"/>
    </row>
    <row r="23" spans="1:9" x14ac:dyDescent="0.3">
      <c r="A23" s="12"/>
      <c r="B23" s="11"/>
      <c r="C23" s="13"/>
      <c r="D23" s="11"/>
      <c r="E23" s="13"/>
      <c r="F23" s="23"/>
      <c r="G23" s="25"/>
      <c r="H23" s="14">
        <f>SUM(Table1[Total])</f>
        <v>144</v>
      </c>
      <c r="I23" s="11"/>
    </row>
  </sheetData>
  <conditionalFormatting sqref="F2:G23">
    <cfRule type="cellIs" dxfId="9" priority="1" operator="equal">
      <formula>"Yes"</formula>
    </cfRule>
  </conditionalFormatting>
  <hyperlinks>
    <hyperlink ref="I2" r:id="rId1" xr:uid="{291F97FF-5198-4A74-A97A-4D0D009DC67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2026-01-24T17:33:17Z</dcterms:modified>
</cp:coreProperties>
</file>