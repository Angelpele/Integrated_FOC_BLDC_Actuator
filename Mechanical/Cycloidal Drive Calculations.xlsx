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gel\Desktop\Proyectos\FOC BLDC\Mechanical\"/>
    </mc:Choice>
  </mc:AlternateContent>
  <xr:revisionPtr revIDLastSave="0" documentId="13_ncr:1_{D8C4ECA6-2862-4B16-966F-C24362BB03BA}" xr6:coauthVersionLast="47" xr6:coauthVersionMax="47" xr10:uidLastSave="{00000000-0000-0000-0000-000000000000}"/>
  <bookViews>
    <workbookView xWindow="384" yWindow="384" windowWidth="17280" windowHeight="9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F2" i="1" s="1"/>
  <c r="F3" i="1"/>
  <c r="I11" i="1" s="1"/>
  <c r="I6" i="1" l="1"/>
  <c r="I7" i="1"/>
  <c r="I10" i="1"/>
  <c r="E8" i="1"/>
  <c r="E7" i="1"/>
  <c r="E6" i="1"/>
  <c r="E10" i="1" l="1"/>
  <c r="E11" i="1"/>
</calcChain>
</file>

<file path=xl/sharedStrings.xml><?xml version="1.0" encoding="utf-8"?>
<sst xmlns="http://schemas.openxmlformats.org/spreadsheetml/2006/main" count="29" uniqueCount="22">
  <si>
    <t>Data</t>
  </si>
  <si>
    <t>Value</t>
  </si>
  <si>
    <t>Reduction Ratio</t>
  </si>
  <si>
    <t>:1</t>
  </si>
  <si>
    <t>Motor KV</t>
  </si>
  <si>
    <t>Efficiency</t>
  </si>
  <si>
    <t>Output RPM</t>
  </si>
  <si>
    <t>Input Current Max A</t>
  </si>
  <si>
    <t>Input Volt Max V</t>
  </si>
  <si>
    <t>Input Volt V</t>
  </si>
  <si>
    <t>Input Current A</t>
  </si>
  <si>
    <t>Torque Nm</t>
  </si>
  <si>
    <t>KV x V</t>
  </si>
  <si>
    <t>Kt x i</t>
  </si>
  <si>
    <t>Kt</t>
  </si>
  <si>
    <t>* No effect num discs</t>
  </si>
  <si>
    <t>* 340KV</t>
  </si>
  <si>
    <t>Num discs (Phase Type)</t>
  </si>
  <si>
    <t>Nd (Lobes of disc)</t>
  </si>
  <si>
    <t>Raducation Ratio</t>
  </si>
  <si>
    <t>No (Out pins)</t>
  </si>
  <si>
    <t>Np (fixed pins / rollers)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</si>
</sst>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horizontal="right"/>
    </xf>
    <xf numFmtId="164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2" fontId="0" fillId="0" borderId="1" xfId="0" applyNumberFormat="1" applyBorder="1"/>
    <xf numFmtId="1" fontId="0" fillId="0" borderId="1" xfId="0" applyNumberFormat="1" applyBorder="1"/>
    <xf numFmtId="0" fontId="1" fillId="0" borderId="0" xfId="0" applyFont="1"/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C1" zoomScale="175" zoomScaleNormal="175" workbookViewId="0">
      <selection activeCell="C6" sqref="C6"/>
    </sheetView>
  </sheetViews>
  <sheetFormatPr defaultRowHeight="14.4" x14ac:dyDescent="0.3"/>
  <cols>
    <col min="1" max="1" width="21.6640625" customWidth="1"/>
    <col min="2" max="2" width="13.109375" customWidth="1"/>
    <col min="4" max="4" width="15.44140625" customWidth="1"/>
    <col min="5" max="5" width="16.77734375" customWidth="1"/>
    <col min="8" max="8" width="12" customWidth="1"/>
  </cols>
  <sheetData>
    <row r="1" spans="1:9" ht="24.6" customHeight="1" x14ac:dyDescent="0.3">
      <c r="A1" s="12" t="s">
        <v>0</v>
      </c>
      <c r="B1" s="12" t="s">
        <v>1</v>
      </c>
    </row>
    <row r="2" spans="1:9" x14ac:dyDescent="0.3">
      <c r="A2" s="1" t="s">
        <v>21</v>
      </c>
      <c r="B2" s="1">
        <v>15</v>
      </c>
      <c r="E2" s="2" t="s">
        <v>19</v>
      </c>
      <c r="F2" s="4">
        <f>1-(B2/B3)</f>
        <v>-7.1428571428571397E-2</v>
      </c>
      <c r="G2" s="3" t="s">
        <v>3</v>
      </c>
    </row>
    <row r="3" spans="1:9" x14ac:dyDescent="0.3">
      <c r="A3" s="1" t="s">
        <v>18</v>
      </c>
      <c r="B3" s="1">
        <f>B2-1</f>
        <v>14</v>
      </c>
      <c r="E3" s="2" t="s">
        <v>2</v>
      </c>
      <c r="F3" s="4">
        <f>B3/(B2 -B3)</f>
        <v>14</v>
      </c>
      <c r="G3" s="3" t="s">
        <v>3</v>
      </c>
    </row>
    <row r="4" spans="1:9" x14ac:dyDescent="0.3">
      <c r="A4" s="1" t="s">
        <v>20</v>
      </c>
      <c r="B4" s="1">
        <v>7</v>
      </c>
    </row>
    <row r="5" spans="1:9" x14ac:dyDescent="0.3">
      <c r="A5" s="1"/>
      <c r="B5" s="1"/>
    </row>
    <row r="6" spans="1:9" x14ac:dyDescent="0.3">
      <c r="A6" s="1" t="s">
        <v>8</v>
      </c>
      <c r="B6" s="1">
        <v>40</v>
      </c>
      <c r="D6" s="7" t="s">
        <v>6</v>
      </c>
      <c r="E6" s="1">
        <f>B8*B6</f>
        <v>13600</v>
      </c>
      <c r="F6" s="5" t="s">
        <v>12</v>
      </c>
      <c r="H6" s="8" t="s">
        <v>6</v>
      </c>
      <c r="I6" s="10">
        <f>E6/F3</f>
        <v>971.42857142857144</v>
      </c>
    </row>
    <row r="7" spans="1:9" x14ac:dyDescent="0.3">
      <c r="A7" s="1" t="s">
        <v>9</v>
      </c>
      <c r="B7" s="1">
        <v>16.399999999999999</v>
      </c>
      <c r="D7" s="7" t="s">
        <v>6</v>
      </c>
      <c r="E7" s="1">
        <f>B8*B7</f>
        <v>5575.9999999999991</v>
      </c>
      <c r="H7" s="8" t="s">
        <v>6</v>
      </c>
      <c r="I7" s="10">
        <f>E7/F3</f>
        <v>398.28571428571422</v>
      </c>
    </row>
    <row r="8" spans="1:9" x14ac:dyDescent="0.3">
      <c r="A8" s="1" t="s">
        <v>4</v>
      </c>
      <c r="B8" s="1">
        <v>340</v>
      </c>
      <c r="D8" s="7" t="s">
        <v>14</v>
      </c>
      <c r="E8" s="6">
        <f>60/(2*3.1415*B8)</f>
        <v>2.8086994785181299E-2</v>
      </c>
      <c r="H8" s="11" t="s">
        <v>15</v>
      </c>
    </row>
    <row r="9" spans="1:9" x14ac:dyDescent="0.3">
      <c r="A9" s="1"/>
      <c r="B9" s="1" t="s">
        <v>16</v>
      </c>
    </row>
    <row r="10" spans="1:9" x14ac:dyDescent="0.3">
      <c r="A10" s="1" t="s">
        <v>7</v>
      </c>
      <c r="B10" s="1">
        <v>40</v>
      </c>
      <c r="D10" s="7" t="s">
        <v>11</v>
      </c>
      <c r="E10" s="9">
        <f>$E$8 * B10</f>
        <v>1.1234797914072518</v>
      </c>
      <c r="F10" s="5" t="s">
        <v>13</v>
      </c>
      <c r="H10" s="8" t="s">
        <v>11</v>
      </c>
      <c r="I10" s="9">
        <f>E10*F3*B13*B14</f>
        <v>28.311690743462744</v>
      </c>
    </row>
    <row r="11" spans="1:9" x14ac:dyDescent="0.3">
      <c r="A11" s="1" t="s">
        <v>10</v>
      </c>
      <c r="B11" s="1">
        <v>20</v>
      </c>
      <c r="D11" s="7" t="s">
        <v>11</v>
      </c>
      <c r="E11" s="9">
        <f>$E$8 * B11</f>
        <v>0.56173989570362592</v>
      </c>
      <c r="H11" s="8" t="s">
        <v>11</v>
      </c>
      <c r="I11" s="9">
        <f>E11*F3*B13*B14</f>
        <v>14.155845371731372</v>
      </c>
    </row>
    <row r="12" spans="1:9" x14ac:dyDescent="0.3">
      <c r="A12" s="1"/>
      <c r="B12" s="1"/>
    </row>
    <row r="13" spans="1:9" x14ac:dyDescent="0.3">
      <c r="A13" s="1" t="s">
        <v>5</v>
      </c>
      <c r="B13" s="1">
        <v>0.9</v>
      </c>
    </row>
    <row r="14" spans="1:9" x14ac:dyDescent="0.3">
      <c r="A14" s="1" t="s">
        <v>17</v>
      </c>
      <c r="B14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</dc:creator>
  <cp:lastModifiedBy>Ángel Pelegry</cp:lastModifiedBy>
  <dcterms:created xsi:type="dcterms:W3CDTF">2015-06-05T18:17:20Z</dcterms:created>
  <dcterms:modified xsi:type="dcterms:W3CDTF">2025-11-05T22:26:39Z</dcterms:modified>
</cp:coreProperties>
</file>