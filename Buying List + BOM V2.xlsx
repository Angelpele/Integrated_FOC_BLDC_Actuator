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ngel\Desktop\Proyectos\FOC_BLDC\"/>
    </mc:Choice>
  </mc:AlternateContent>
  <xr:revisionPtr revIDLastSave="0" documentId="13_ncr:1_{723EDD2A-6D59-4893-9D6B-1E4FF317C250}" xr6:coauthVersionLast="47" xr6:coauthVersionMax="47" xr10:uidLastSave="{00000000-0000-0000-0000-000000000000}"/>
  <bookViews>
    <workbookView xWindow="-108" yWindow="-108" windowWidth="23256" windowHeight="14616" activeTab="1" xr2:uid="{00000000-000D-0000-FFFF-FFFF00000000}"/>
  </bookViews>
  <sheets>
    <sheet name="Components" sheetId="1" r:id="rId1"/>
    <sheet name="Electrical BO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7" i="1" l="1"/>
  <c r="J28" i="1"/>
  <c r="C29" i="1"/>
  <c r="J29" i="1" s="1"/>
  <c r="J26" i="1"/>
  <c r="A25" i="2" l="1"/>
  <c r="G25" i="2"/>
  <c r="I25" i="2" s="1"/>
  <c r="I61" i="2"/>
  <c r="A61" i="2"/>
  <c r="G38" i="2"/>
  <c r="I38" i="2" s="1"/>
  <c r="A38" i="2"/>
  <c r="G39" i="2"/>
  <c r="G62" i="2"/>
  <c r="G60" i="2"/>
  <c r="G28" i="2"/>
  <c r="A14" i="2"/>
  <c r="G14" i="2"/>
  <c r="I14" i="2" s="1"/>
  <c r="J25" i="1"/>
  <c r="C3" i="1"/>
  <c r="J3" i="1"/>
  <c r="J22" i="1"/>
  <c r="J23" i="1"/>
  <c r="J24" i="1"/>
  <c r="G75" i="2"/>
  <c r="G4" i="2"/>
  <c r="I4" i="2" s="1"/>
  <c r="A4" i="2"/>
  <c r="A53" i="2"/>
  <c r="I53" i="2"/>
  <c r="J9" i="1"/>
  <c r="I56" i="2" l="1"/>
  <c r="I70" i="2"/>
  <c r="A56" i="2"/>
  <c r="A55" i="2"/>
  <c r="G55" i="2"/>
  <c r="I55" i="2" s="1"/>
  <c r="A5" i="2"/>
  <c r="A6" i="2"/>
  <c r="A7" i="2"/>
  <c r="A8" i="2"/>
  <c r="A9" i="2"/>
  <c r="A10" i="2"/>
  <c r="A11" i="2"/>
  <c r="A12" i="2"/>
  <c r="A13" i="2"/>
  <c r="A15" i="2"/>
  <c r="A16" i="2"/>
  <c r="A17" i="2"/>
  <c r="A18" i="2"/>
  <c r="A19" i="2"/>
  <c r="A20" i="2"/>
  <c r="A21" i="2"/>
  <c r="A22" i="2"/>
  <c r="A23" i="2"/>
  <c r="A24" i="2"/>
  <c r="A26" i="2"/>
  <c r="A27" i="2"/>
  <c r="A28" i="2"/>
  <c r="A29" i="2"/>
  <c r="A30" i="2"/>
  <c r="A31" i="2"/>
  <c r="A39" i="2"/>
  <c r="A32" i="2"/>
  <c r="A33" i="2"/>
  <c r="A34" i="2"/>
  <c r="A35" i="2"/>
  <c r="A36" i="2"/>
  <c r="A37" i="2"/>
  <c r="A40" i="2"/>
  <c r="A41" i="2"/>
  <c r="A42" i="2"/>
  <c r="A43" i="2"/>
  <c r="A44" i="2"/>
  <c r="A45" i="2"/>
  <c r="A2" i="2"/>
  <c r="A46" i="2"/>
  <c r="A47" i="2"/>
  <c r="A48" i="2"/>
  <c r="A49" i="2"/>
  <c r="A50" i="2"/>
  <c r="A51" i="2"/>
  <c r="A54" i="2"/>
  <c r="A57" i="2"/>
  <c r="A58" i="2"/>
  <c r="A60" i="2"/>
  <c r="A62" i="2"/>
  <c r="A63" i="2"/>
  <c r="A64" i="2"/>
  <c r="A65" i="2"/>
  <c r="A66" i="2"/>
  <c r="A67" i="2"/>
  <c r="A68" i="2"/>
  <c r="A69" i="2"/>
  <c r="A70" i="2"/>
  <c r="A59" i="2"/>
  <c r="A71" i="2"/>
  <c r="A72" i="2"/>
  <c r="A5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3" i="2"/>
  <c r="G71" i="2"/>
  <c r="I71" i="2" s="1"/>
  <c r="J20" i="1"/>
  <c r="J21" i="1"/>
  <c r="G65" i="2"/>
  <c r="I65" i="2" s="1"/>
  <c r="G29" i="2"/>
  <c r="I29" i="2" s="1"/>
  <c r="I28" i="2"/>
  <c r="G47" i="2"/>
  <c r="I47" i="2" s="1"/>
  <c r="G48" i="2"/>
  <c r="I48" i="2" s="1"/>
  <c r="G57" i="2"/>
  <c r="I57" i="2" s="1"/>
  <c r="I62" i="2"/>
  <c r="I60" i="2"/>
  <c r="G5" i="2"/>
  <c r="I5" i="2" s="1"/>
  <c r="G6" i="2"/>
  <c r="I6" i="2" s="1"/>
  <c r="G7" i="2"/>
  <c r="I7" i="2" s="1"/>
  <c r="G8" i="2"/>
  <c r="I8" i="2" s="1"/>
  <c r="G9" i="2"/>
  <c r="I9" i="2" s="1"/>
  <c r="G10" i="2"/>
  <c r="I10" i="2" s="1"/>
  <c r="G11" i="2"/>
  <c r="I11" i="2" s="1"/>
  <c r="G12" i="2"/>
  <c r="I12" i="2" s="1"/>
  <c r="G13" i="2"/>
  <c r="I13" i="2" s="1"/>
  <c r="G15" i="2"/>
  <c r="I15" i="2" s="1"/>
  <c r="G16" i="2"/>
  <c r="I16" i="2" s="1"/>
  <c r="G17" i="2"/>
  <c r="I17" i="2" s="1"/>
  <c r="G18" i="2"/>
  <c r="I18" i="2" s="1"/>
  <c r="G19" i="2"/>
  <c r="I19" i="2" s="1"/>
  <c r="G20" i="2"/>
  <c r="I20" i="2" s="1"/>
  <c r="G21" i="2"/>
  <c r="I21" i="2" s="1"/>
  <c r="G22" i="2"/>
  <c r="I22" i="2" s="1"/>
  <c r="G23" i="2"/>
  <c r="I23" i="2" s="1"/>
  <c r="G24" i="2"/>
  <c r="I24" i="2" s="1"/>
  <c r="G26" i="2"/>
  <c r="I26" i="2" s="1"/>
  <c r="G27" i="2"/>
  <c r="I27" i="2" s="1"/>
  <c r="G30" i="2"/>
  <c r="I30" i="2" s="1"/>
  <c r="G31" i="2"/>
  <c r="I31" i="2" s="1"/>
  <c r="I39" i="2"/>
  <c r="G32" i="2"/>
  <c r="I32" i="2" s="1"/>
  <c r="G33" i="2"/>
  <c r="I33" i="2" s="1"/>
  <c r="G34" i="2"/>
  <c r="I34" i="2" s="1"/>
  <c r="G35" i="2"/>
  <c r="I35" i="2" s="1"/>
  <c r="G36" i="2"/>
  <c r="I36" i="2" s="1"/>
  <c r="G37" i="2"/>
  <c r="I37" i="2" s="1"/>
  <c r="G40" i="2"/>
  <c r="I40" i="2" s="1"/>
  <c r="G41" i="2"/>
  <c r="I41" i="2" s="1"/>
  <c r="G42" i="2"/>
  <c r="I42" i="2" s="1"/>
  <c r="G43" i="2"/>
  <c r="I43" i="2" s="1"/>
  <c r="G44" i="2"/>
  <c r="I44" i="2" s="1"/>
  <c r="G45" i="2"/>
  <c r="I45" i="2" s="1"/>
  <c r="G2" i="2"/>
  <c r="I2" i="2" s="1"/>
  <c r="G46" i="2"/>
  <c r="I46" i="2" s="1"/>
  <c r="G49" i="2"/>
  <c r="I49" i="2" s="1"/>
  <c r="G50" i="2"/>
  <c r="I50" i="2" s="1"/>
  <c r="G51" i="2"/>
  <c r="I51" i="2" s="1"/>
  <c r="G54" i="2"/>
  <c r="I54" i="2" s="1"/>
  <c r="G58" i="2"/>
  <c r="I58" i="2" s="1"/>
  <c r="G63" i="2"/>
  <c r="I63" i="2" s="1"/>
  <c r="G64" i="2"/>
  <c r="I64" i="2" s="1"/>
  <c r="G66" i="2"/>
  <c r="I66" i="2" s="1"/>
  <c r="G67" i="2"/>
  <c r="I67" i="2" s="1"/>
  <c r="G68" i="2"/>
  <c r="I68" i="2" s="1"/>
  <c r="G69" i="2"/>
  <c r="I69" i="2" s="1"/>
  <c r="G59" i="2"/>
  <c r="I59" i="2" s="1"/>
  <c r="G72" i="2"/>
  <c r="I72" i="2" s="1"/>
  <c r="G52" i="2"/>
  <c r="I52" i="2" s="1"/>
  <c r="I73" i="2"/>
  <c r="I74" i="2"/>
  <c r="I75" i="2"/>
  <c r="G76" i="2"/>
  <c r="I76" i="2" s="1"/>
  <c r="G77" i="2"/>
  <c r="I77" i="2" s="1"/>
  <c r="G78" i="2"/>
  <c r="I78" i="2" s="1"/>
  <c r="G79" i="2"/>
  <c r="I79" i="2" s="1"/>
  <c r="G80" i="2"/>
  <c r="I80" i="2" s="1"/>
  <c r="G81" i="2"/>
  <c r="I81" i="2" s="1"/>
  <c r="G82" i="2"/>
  <c r="I82" i="2" s="1"/>
  <c r="G83" i="2"/>
  <c r="I83" i="2" s="1"/>
  <c r="G84" i="2"/>
  <c r="I84" i="2" s="1"/>
  <c r="G85" i="2"/>
  <c r="I85" i="2" s="1"/>
  <c r="G86" i="2"/>
  <c r="I86" i="2" s="1"/>
  <c r="G87" i="2"/>
  <c r="I87" i="2" s="1"/>
  <c r="G88" i="2"/>
  <c r="I88" i="2" s="1"/>
  <c r="G89" i="2"/>
  <c r="I89" i="2" s="1"/>
  <c r="G90" i="2"/>
  <c r="I90" i="2" s="1"/>
  <c r="G91" i="2"/>
  <c r="I91" i="2" s="1"/>
  <c r="G92" i="2"/>
  <c r="I92" i="2" s="1"/>
  <c r="G93" i="2"/>
  <c r="I93" i="2" s="1"/>
  <c r="G94" i="2"/>
  <c r="I94" i="2" s="1"/>
  <c r="G95" i="2"/>
  <c r="I95" i="2" s="1"/>
  <c r="G96" i="2"/>
  <c r="I96" i="2" s="1"/>
  <c r="G97" i="2"/>
  <c r="I97" i="2" s="1"/>
  <c r="G98" i="2"/>
  <c r="I98" i="2" s="1"/>
  <c r="G99" i="2"/>
  <c r="I99" i="2" s="1"/>
  <c r="G100" i="2"/>
  <c r="I100" i="2" s="1"/>
  <c r="G101" i="2"/>
  <c r="I101" i="2" s="1"/>
  <c r="G3" i="2"/>
  <c r="I3" i="2" s="1"/>
  <c r="J30" i="1"/>
  <c r="J19" i="1"/>
  <c r="J4" i="1"/>
  <c r="J5" i="1"/>
  <c r="J6" i="1"/>
  <c r="J7" i="1"/>
  <c r="J8" i="1"/>
  <c r="J10" i="1"/>
  <c r="J11" i="1"/>
  <c r="J12" i="1"/>
  <c r="J13" i="1"/>
  <c r="J14" i="1"/>
  <c r="J15" i="1"/>
  <c r="J16" i="1"/>
  <c r="J17" i="1"/>
  <c r="J18" i="1"/>
  <c r="J31" i="1"/>
  <c r="J32" i="1"/>
  <c r="J33" i="1"/>
  <c r="C2" i="1" l="1"/>
  <c r="J2" i="1" s="1"/>
  <c r="J34" i="1" l="1"/>
</calcChain>
</file>

<file path=xl/sharedStrings.xml><?xml version="1.0" encoding="utf-8"?>
<sst xmlns="http://schemas.openxmlformats.org/spreadsheetml/2006/main" count="320" uniqueCount="173">
  <si>
    <t>Component</t>
  </si>
  <si>
    <t>Supplier</t>
  </si>
  <si>
    <t>Link</t>
  </si>
  <si>
    <t>Unit Price</t>
  </si>
  <si>
    <t>Quantity</t>
  </si>
  <si>
    <t>Shipping Costs</t>
  </si>
  <si>
    <t>N42 Neodymium Diametrically Magnetised Disc Magnet - 1/4 in. dia x 1/32 in. thick (Pack of 10)</t>
  </si>
  <si>
    <t>First 4 Magnets</t>
  </si>
  <si>
    <t>Total</t>
  </si>
  <si>
    <t>https://www.first4magnets.com/us/product/n42-neodymium-diametrically-magnetised-disc-magnet-1-4-in-dia-x-1-32-in-thick-20413?variant=1151</t>
  </si>
  <si>
    <t>https://qwinout.com/products/qwinout-high-performance-5010-750kv-disk-brushless-motor-with-bullet-cap-mount-for-diy-fpv-drone-hexacopter-quadcopter-multicopter?variant=37167971991701</t>
  </si>
  <si>
    <t>QWinOut High Performance 5010 750KV Disk Brushless Motor with Bullet Cap Mount for DIY FPV Drone Hexacopter Quadcopter MultiCopter</t>
  </si>
  <si>
    <t>QWinOut</t>
  </si>
  <si>
    <t>Male Female Threaded Hex Standoff 6 mm long, M3 x 0.5 mm</t>
  </si>
  <si>
    <t xml:space="preserve">HIVE </t>
  </si>
  <si>
    <t>(Take more for more motors)</t>
  </si>
  <si>
    <t>https://es.aliexpress.com/item/1005009576693979.html?spm=a2g0o.productlist.main.6.1a877b3c2Fn66T&amp;algo_pvid=783ef9cf-4d19-4659-b80d-1c10f7e1e8c5&amp;algo_exp_id=783ef9cf-4d19-4659-b80d-1c10f7e1e8c5-5&amp;pdp_ext_f=%7B%22order%22%3A%2225%22%2C%22eval%22%3A%221%22%2C%22fromPage%22%3A%22search%22%7D&amp;pdp_npi=6%40dis%21EUR%212.12%211.80%21%21%2117.06%2114.50%21%402101ea8c17620079193144001e08bb%2112000049516358233%21sea%21ES%210%21ABX%211%210%21n_tag%3A-29910%3Bd%3A89c66183%3Bm03_new_user%3A-29895&amp;curPageLogUid=N1LNBeR6Cvw2&amp;utparam-url=scene%3Asearch%7Cquery_from%3A%7Cx_object_id%3A1005009576693979%7C_p_origin_prod%3A</t>
  </si>
  <si>
    <t>Pedido LCSC Components</t>
  </si>
  <si>
    <t>Pedido PCBs</t>
  </si>
  <si>
    <t>LCSC</t>
  </si>
  <si>
    <t>AliExpress</t>
  </si>
  <si>
    <t>https://es.aliexpress.com/item/1005006952693027.html?spm=a2g0o.productlist.main.1.4f522d0btKQSeK&amp;algo_pvid=2248b353-f7c5-4f47-9a82-36cc6acbe0ea&amp;algo_exp_id=2248b353-f7c5-4f47-9a82-36cc6acbe0ea-0&amp;pdp_ext_f=%7B%22order%22%3A%2292%22%2C%22eval%22%3A%221%22%2C%22fromPage%22%3A%22search%22%7D&amp;pdp_npi=6%40dis%21USD%216.64%210.99%21%21%2146.96%217.00%21%402101c44f17620074840681032ec5cf%2112000050577734593%21sea%21US%210%21ABX%211%210%21n_tag%3A-29910%3Bd%3A9e591d6%3Bm03_new_user%3A-29895%3BpisId%3A5000000187461913&amp;curPageLogUid=Fww5FcILrGbL&amp;utparam-url=scene%3Asearch%7Cquery_from%3A%7Cx_object_id%3A1005006952693027%7C_p_origin_prod%3A&amp;gatewayAdapt=usa2esp4itemAdapt</t>
  </si>
  <si>
    <t>https://es.aliexpress.com/item/1005009747825955.html?spm=a2g0o.productlist.main.1.6e677f6fN1wsYM&amp;algo_pvid=cfecfe3a-19c9-41d0-a522-07a659d90927&amp;algo_exp_id=cfecfe3a-19c9-41d0-a522-07a659d90927-0&amp;pdp_ext_f=%7B%22order%22%3A%22272%22%2C%22eval%22%3A%221%22%2C%22fromPage%22%3A%22search%22%7D&amp;pdp_npi=6%40dis%21EUR%212.15%210.99%21%21%2117.25%217.97%21%402101f54117624697608408331ec780%2112000050118769172%21sea%21ES%210%21ABX%211%210%21n_tag%3A-29910%3Bd%3A89c66183%3Bm03_new_user%3A-29895%3BpisId%3A5000000187623938&amp;curPageLogUid=bQdaNbMqlH2g&amp;utparam-url=scene%3Asearch%7Cquery_from%3A%7Cx_object_id%3A1005009747825955%7C_p_origin_prod%3A</t>
  </si>
  <si>
    <t>Purchased</t>
  </si>
  <si>
    <t>Arrived</t>
  </si>
  <si>
    <t>Yes</t>
  </si>
  <si>
    <t>No</t>
  </si>
  <si>
    <t>Rodamiento 35x44x5mm - 2 units</t>
  </si>
  <si>
    <t>Rodamiento BEC-7 12x18x4mm 6701RS - 10 units</t>
  </si>
  <si>
    <t>Cycloidal Disc 1</t>
  </si>
  <si>
    <t>Cycloidal Disc 2</t>
  </si>
  <si>
    <t>BHSBHCS ASME B18.3.4M - M3 x 0.5 x 3 Steel Grade 2 Plain</t>
  </si>
  <si>
    <t>Senior Lab</t>
  </si>
  <si>
    <t>BHSBHCS ASME B18.3.4M - M3 x 0.5 x 4 Steel Grade 2 Plain</t>
  </si>
  <si>
    <t>Invention</t>
  </si>
  <si>
    <t>Hexagon = Cylindrical head + allen socket</t>
  </si>
  <si>
    <t>ASME = Rounded head + allen socket</t>
  </si>
  <si>
    <t>Printed Cycloidal PLA</t>
  </si>
  <si>
    <t>Hexagon Socket Head- M3 x 0.5 x 45 Steel Grade 2 Plain (48 mm rosca)</t>
  </si>
  <si>
    <t>6x12mm Solid Pins 30 Units</t>
  </si>
  <si>
    <t>JLCPCB</t>
  </si>
  <si>
    <t>Invention - SS</t>
  </si>
  <si>
    <t>PCB V2 + Stencil</t>
  </si>
  <si>
    <t>Quantity / Board</t>
  </si>
  <si>
    <t>Left to Purchase</t>
  </si>
  <si>
    <t>Total Quantity 6 + 2</t>
  </si>
  <si>
    <t>M8 HoverBoard Screw</t>
  </si>
  <si>
    <t>Home</t>
  </si>
  <si>
    <t>Link Motor Screw M3 20mm</t>
  </si>
  <si>
    <t>Id</t>
  </si>
  <si>
    <t>Footprint</t>
  </si>
  <si>
    <t>Designation</t>
  </si>
  <si>
    <t>Personal Stock</t>
  </si>
  <si>
    <t>BUY / HIVE</t>
  </si>
  <si>
    <t>PESDNC2</t>
  </si>
  <si>
    <t>3.3k</t>
  </si>
  <si>
    <t>Number of boards</t>
  </si>
  <si>
    <t>0.015uF</t>
  </si>
  <si>
    <t>Number of hover boards</t>
  </si>
  <si>
    <t>0.1 uF</t>
  </si>
  <si>
    <t>200k</t>
  </si>
  <si>
    <t>1k</t>
  </si>
  <si>
    <t>10k</t>
  </si>
  <si>
    <t>2.2nF</t>
  </si>
  <si>
    <t>100k</t>
  </si>
  <si>
    <t>36pF</t>
  </si>
  <si>
    <t>560pF</t>
  </si>
  <si>
    <t>1nF</t>
  </si>
  <si>
    <t>4k7</t>
  </si>
  <si>
    <t>0.022uF</t>
  </si>
  <si>
    <t>LED</t>
  </si>
  <si>
    <t>NTC 10k</t>
  </si>
  <si>
    <t>100R</t>
  </si>
  <si>
    <t>1uF</t>
  </si>
  <si>
    <t>22R</t>
  </si>
  <si>
    <t>10R</t>
  </si>
  <si>
    <t>2.2uF</t>
  </si>
  <si>
    <t>47uF</t>
  </si>
  <si>
    <t>0.1uF</t>
  </si>
  <si>
    <t>4.7uF</t>
  </si>
  <si>
    <t>22uF</t>
  </si>
  <si>
    <t>10uF</t>
  </si>
  <si>
    <t>0.01R</t>
  </si>
  <si>
    <t>B360</t>
  </si>
  <si>
    <t>D_SMC</t>
  </si>
  <si>
    <t>SMCJ45CA</t>
  </si>
  <si>
    <t>SMAJ30CA</t>
  </si>
  <si>
    <t>D_SOD-123</t>
  </si>
  <si>
    <t>DRV8302</t>
  </si>
  <si>
    <t>DRV8302DCAR</t>
  </si>
  <si>
    <t>ESP32-S3-WROOM-1U</t>
  </si>
  <si>
    <t>ESP32-S3-WROOM-1</t>
  </si>
  <si>
    <t>JST_PH_S2B-PH-K_1x02_P2.00mm_Horizontal</t>
  </si>
  <si>
    <t>CAN1</t>
  </si>
  <si>
    <t>CAN2</t>
  </si>
  <si>
    <t>JST_PH_S5B-PH-K_1x05_P2.00mm_Horizontal</t>
  </si>
  <si>
    <t>Hall Encoder</t>
  </si>
  <si>
    <t>MOSFET</t>
  </si>
  <si>
    <t>FH4008GS</t>
  </si>
  <si>
    <t>SM7850</t>
  </si>
  <si>
    <t>22uH</t>
  </si>
  <si>
    <t>12uH</t>
  </si>
  <si>
    <t>SOD-123</t>
  </si>
  <si>
    <t>1N4002</t>
  </si>
  <si>
    <t>SOIC127P599X175-8N</t>
  </si>
  <si>
    <t>MCP2551-I_SN</t>
  </si>
  <si>
    <t>SOIC127P600X175-8N</t>
  </si>
  <si>
    <t>MT6701CT-AKD</t>
  </si>
  <si>
    <t>SOT-23-5</t>
  </si>
  <si>
    <t>TLV75733PDBV</t>
  </si>
  <si>
    <t>SOT-23-6</t>
  </si>
  <si>
    <t>SRV05-4</t>
  </si>
  <si>
    <t>SW</t>
  </si>
  <si>
    <t>TS-1088AR02016</t>
  </si>
  <si>
    <t>USB_C_Receptacle_Palconn_UTC16-G</t>
  </si>
  <si>
    <t>USB_C 3.1</t>
  </si>
  <si>
    <t>XDCR_BMI270</t>
  </si>
  <si>
    <t>BMI270</t>
  </si>
  <si>
    <t>MOSFET RPP</t>
  </si>
  <si>
    <t>XRS80P06F</t>
  </si>
  <si>
    <t>XT30</t>
  </si>
  <si>
    <t>0201</t>
  </si>
  <si>
    <t>0402</t>
  </si>
  <si>
    <t>0603</t>
  </si>
  <si>
    <t>0805</t>
  </si>
  <si>
    <t>Threaded inserts M3 4 mm Output</t>
  </si>
  <si>
    <t>Threaded inserts M3 6 mm Output</t>
  </si>
  <si>
    <t>Female</t>
  </si>
  <si>
    <t>Male</t>
  </si>
  <si>
    <t>Hall Encoder Male</t>
  </si>
  <si>
    <t>BZT52C18</t>
  </si>
  <si>
    <t>B360A</t>
  </si>
  <si>
    <t>Prior B3030</t>
  </si>
  <si>
    <t>Voltage requirements</t>
  </si>
  <si>
    <t>Voltage comp</t>
  </si>
  <si>
    <t>Max 5V</t>
  </si>
  <si>
    <t>10V</t>
  </si>
  <si>
    <t>1.5nF</t>
  </si>
  <si>
    <t>121R</t>
  </si>
  <si>
    <t>6.3V</t>
  </si>
  <si>
    <t>150R</t>
  </si>
  <si>
    <t>Required GH</t>
  </si>
  <si>
    <t>16V</t>
  </si>
  <si>
    <t>3V3</t>
  </si>
  <si>
    <t>50V</t>
  </si>
  <si>
    <t>Ferrite Bead</t>
  </si>
  <si>
    <t>JST_PH_S2B-PH Male</t>
  </si>
  <si>
    <t>Male Connector</t>
  </si>
  <si>
    <t>XT60</t>
  </si>
  <si>
    <t>0R</t>
  </si>
  <si>
    <t>16V -  30 from Senior</t>
  </si>
  <si>
    <t>Bulk Capacitors</t>
  </si>
  <si>
    <t>220uF</t>
  </si>
  <si>
    <t>5mm PIN</t>
  </si>
  <si>
    <t>Invention - Screws</t>
  </si>
  <si>
    <t>10mm PIN</t>
  </si>
  <si>
    <t>M5 Rounded head link</t>
  </si>
  <si>
    <t>QWinOut High Performance 5010 360KV Disk Brushless Motor with Bullet Cap Mount for DIY FPV Drone Hexacopter Quadcopter MultiCopter</t>
  </si>
  <si>
    <t>M5 Thread Rod Joint End</t>
  </si>
  <si>
    <t>5.1k</t>
  </si>
  <si>
    <t>Can be changed by 0805 50V</t>
  </si>
  <si>
    <t>More than 16</t>
  </si>
  <si>
    <t>Higher voltage rating</t>
  </si>
  <si>
    <t>35V</t>
  </si>
  <si>
    <t>15pF</t>
  </si>
  <si>
    <t>86.6k</t>
  </si>
  <si>
    <t>42uH or 47uH</t>
  </si>
  <si>
    <t>more than 2A</t>
  </si>
  <si>
    <t>0603 - 600R, 100Mhz</t>
  </si>
  <si>
    <t>Soldering Air Station</t>
  </si>
  <si>
    <t>Amazon</t>
  </si>
  <si>
    <t>Main Asturion PCB + Smaller Stencil</t>
  </si>
  <si>
    <t>2nd Component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</si>
</sst>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&quot;$&quot;#,##0.00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1">
    <xf numFmtId="0" fontId="0" fillId="0" borderId="0" xfId="0"/>
    <xf numFmtId="164" fontId="0" fillId="0" borderId="0" xfId="0" applyNumberFormat="1"/>
    <xf numFmtId="0" fontId="0" fillId="0" borderId="1" xfId="0" applyBorder="1"/>
    <xf numFmtId="164" fontId="0" fillId="0" borderId="1" xfId="0" applyNumberFormat="1" applyBorder="1"/>
    <xf numFmtId="0" fontId="0" fillId="0" borderId="3" xfId="0" applyBorder="1"/>
    <xf numFmtId="0" fontId="0" fillId="0" borderId="6" xfId="0" applyBorder="1"/>
    <xf numFmtId="0" fontId="0" fillId="0" borderId="7" xfId="0" applyBorder="1"/>
    <xf numFmtId="0" fontId="2" fillId="0" borderId="5" xfId="0" applyFont="1" applyBorder="1" applyAlignment="1">
      <alignment wrapText="1"/>
    </xf>
    <xf numFmtId="0" fontId="1" fillId="0" borderId="2" xfId="0" applyFont="1" applyBorder="1"/>
    <xf numFmtId="164" fontId="1" fillId="0" borderId="2" xfId="0" applyNumberFormat="1" applyFont="1" applyBorder="1"/>
    <xf numFmtId="164" fontId="1" fillId="0" borderId="8" xfId="0" applyNumberFormat="1" applyFont="1" applyBorder="1"/>
    <xf numFmtId="0" fontId="1" fillId="0" borderId="0" xfId="0" applyFont="1"/>
    <xf numFmtId="0" fontId="1" fillId="0" borderId="6" xfId="0" applyFont="1" applyBorder="1"/>
    <xf numFmtId="164" fontId="1" fillId="0" borderId="0" xfId="0" applyNumberFormat="1" applyFont="1"/>
    <xf numFmtId="164" fontId="1" fillId="0" borderId="7" xfId="0" applyNumberFormat="1" applyFont="1" applyBorder="1"/>
    <xf numFmtId="0" fontId="2" fillId="0" borderId="0" xfId="0" applyFont="1" applyAlignment="1">
      <alignment wrapText="1"/>
    </xf>
    <xf numFmtId="0" fontId="2" fillId="0" borderId="6" xfId="0" applyFont="1" applyBorder="1"/>
    <xf numFmtId="0" fontId="2" fillId="0" borderId="6" xfId="0" applyFont="1" applyBorder="1" applyAlignment="1">
      <alignment wrapText="1"/>
    </xf>
    <xf numFmtId="0" fontId="1" fillId="0" borderId="0" xfId="0" applyFont="1" applyAlignment="1">
      <alignment wrapText="1"/>
    </xf>
    <xf numFmtId="0" fontId="3" fillId="0" borderId="0" xfId="1"/>
    <xf numFmtId="164" fontId="0" fillId="0" borderId="6" xfId="0" applyNumberFormat="1" applyBorder="1"/>
    <xf numFmtId="164" fontId="0" fillId="0" borderId="4" xfId="0" applyNumberFormat="1" applyBorder="1"/>
    <xf numFmtId="164" fontId="4" fillId="0" borderId="5" xfId="0" applyNumberFormat="1" applyFont="1" applyBorder="1"/>
    <xf numFmtId="164" fontId="4" fillId="0" borderId="6" xfId="0" applyNumberFormat="1" applyFont="1" applyBorder="1"/>
    <xf numFmtId="164" fontId="4" fillId="0" borderId="8" xfId="0" applyNumberFormat="1" applyFont="1" applyBorder="1"/>
    <xf numFmtId="164" fontId="4" fillId="0" borderId="7" xfId="0" applyNumberFormat="1" applyFont="1" applyBorder="1"/>
    <xf numFmtId="164" fontId="1" fillId="0" borderId="9" xfId="0" applyNumberFormat="1" applyFont="1" applyBorder="1"/>
    <xf numFmtId="0" fontId="0" fillId="0" borderId="4" xfId="0" applyBorder="1"/>
    <xf numFmtId="0" fontId="4" fillId="0" borderId="2" xfId="0" applyFont="1" applyBorder="1"/>
    <xf numFmtId="0" fontId="4" fillId="0" borderId="0" xfId="0" applyFont="1"/>
    <xf numFmtId="0" fontId="0" fillId="0" borderId="0" xfId="0" applyAlignment="1">
      <alignment horizontal="left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2" borderId="10" xfId="0" applyFill="1" applyBorder="1"/>
    <xf numFmtId="0" fontId="0" fillId="0" borderId="11" xfId="0" applyBorder="1" applyAlignment="1">
      <alignment horizontal="center"/>
    </xf>
    <xf numFmtId="49" fontId="0" fillId="0" borderId="12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left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16" xfId="0" applyBorder="1" applyAlignment="1">
      <alignment horizontal="center"/>
    </xf>
    <xf numFmtId="49" fontId="0" fillId="0" borderId="17" xfId="0" applyNumberForma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7" xfId="0" applyBorder="1" applyAlignment="1">
      <alignment horizontal="left"/>
    </xf>
    <xf numFmtId="0" fontId="0" fillId="0" borderId="17" xfId="0" applyBorder="1"/>
    <xf numFmtId="0" fontId="0" fillId="0" borderId="18" xfId="0" applyBorder="1"/>
    <xf numFmtId="6" fontId="1" fillId="0" borderId="0" xfId="0" applyNumberFormat="1" applyFont="1" applyAlignment="1">
      <alignment horizontal="left"/>
    </xf>
    <xf numFmtId="0" fontId="1" fillId="0" borderId="0" xfId="1" applyFont="1"/>
    <xf numFmtId="49" fontId="0" fillId="0" borderId="0" xfId="0" applyNumberFormat="1" applyAlignment="1">
      <alignment horizontal="left"/>
    </xf>
  </cellXfs>
  <cellStyles count="2">
    <cellStyle name="Hyperlink" xfId="1" builtinId="8"/>
    <cellStyle name="Normal" xfId="0" builtinId="0"/>
  </cellStyles>
  <dxfs count="36">
    <dxf>
      <font>
        <color rgb="FF006100"/>
      </font>
      <fill>
        <patternFill>
          <bgColor rgb="FFC6EFCE"/>
        </patternFill>
      </fill>
    </dxf>
    <dxf>
      <font>
        <color rgb="FF92D050"/>
      </font>
    </dxf>
    <dxf>
      <font>
        <color theme="9" tint="-0.2499465926084170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&quot;$&quot;#,##0.0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&quot;$&quot;#,##0.00"/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Calibri"/>
        <family val="2"/>
        <scheme val="minor"/>
      </font>
      <numFmt numFmtId="164" formatCode="&quot;$&quot;#,##0.0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Calibri"/>
        <family val="2"/>
        <scheme val="minor"/>
      </font>
      <numFmt numFmtId="164" formatCode="&quot;$&quot;#,##0.00"/>
      <border diagonalUp="0" diagonalDown="0">
        <left style="thin">
          <color indexed="64"/>
        </left>
        <right style="thin">
          <color indexed="64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Calibri"/>
        <family val="2"/>
        <scheme val="minor"/>
      </font>
      <numFmt numFmtId="164" formatCode="&quot;$&quot;#,##0.0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Calibri"/>
        <family val="2"/>
        <scheme val="minor"/>
      </font>
      <numFmt numFmtId="164" formatCode="&quot;$&quot;#,##0.00"/>
      <border diagonalUp="0" diagonalDown="0">
        <left style="thin">
          <color indexed="64"/>
        </lef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&quot;$&quot;#,##0.0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&quot;$&quot;#,##0.0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/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113999-89B8-4DCA-AAEB-0496B38A0B13}" name="Table1" displayName="Table1" ref="A1:K34" totalsRowCount="1" headerRowDxfId="28" dataDxfId="26" headerRowBorderDxfId="27" tableBorderDxfId="25">
  <autoFilter ref="A1:K33" xr:uid="{57113999-89B8-4DCA-AAEB-0496B38A0B13}"/>
  <tableColumns count="11">
    <tableColumn id="1" xr3:uid="{C01A5BB4-2776-4DA4-B397-20536FB6B151}" name="Component" dataDxfId="24" totalsRowDxfId="23"/>
    <tableColumn id="2" xr3:uid="{D16A6BB5-FB54-4A08-8F36-6F894F571CA2}" name="Supplier" dataDxfId="22" totalsRowDxfId="21"/>
    <tableColumn id="3" xr3:uid="{13E6D449-D029-4B98-A474-567EF4C137DD}" name="Unit Price" dataDxfId="20" totalsRowDxfId="19"/>
    <tableColumn id="4" xr3:uid="{BFC6BC80-26FB-482F-B354-EBAC0B59B079}" name="Quantity / Board" dataDxfId="18" totalsRowDxfId="17"/>
    <tableColumn id="8" xr3:uid="{60AEBA47-4243-42D3-988F-F3DB3204B15E}" name="Total Quantity 6 + 2" dataDxfId="16" totalsRowDxfId="15"/>
    <tableColumn id="12" xr3:uid="{4B5F8A5D-14B9-498E-9411-2EEB2C426CA5}" name="Left to Purchase" dataDxfId="14" totalsRowDxfId="13"/>
    <tableColumn id="5" xr3:uid="{E17DAC7E-1E39-4AF4-8109-E85C3BEA4D94}" name="Shipping Costs" dataDxfId="12" totalsRowDxfId="11"/>
    <tableColumn id="10" xr3:uid="{80648434-14FA-49B4-BA1C-C16B6DFD9A61}" name="Purchased" dataDxfId="10" totalsRowDxfId="9"/>
    <tableColumn id="9" xr3:uid="{2A4D153E-2215-40C4-B217-8FADF5785568}" name="Arrived" dataDxfId="8" totalsRowDxfId="7"/>
    <tableColumn id="6" xr3:uid="{9BE18441-967B-45FF-8A88-16AF220F7381}" name="Total" totalsRowFunction="custom" dataDxfId="6" totalsRowDxfId="5">
      <calculatedColumnFormula>Table1[[#This Row],[Unit Price]]*Table1[[#This Row],[Total Quantity 6 + 2]]+Table1[[#This Row],[Shipping Costs]]</calculatedColumnFormula>
      <totalsRowFormula>SUM(Table1[Total])</totalsRowFormula>
    </tableColumn>
    <tableColumn id="7" xr3:uid="{B8F06C12-DD71-45A3-886F-8113BE8A9BDA}" name="Link" dataDxfId="4" totalsRowDxfId="3"/>
  </tableColumns>
  <tableStyleInfo name="TableStyleLight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2595191-1704-4DAD-B045-FA2F04CF59FF}" name="Table2" displayName="Table2" ref="A1:I101" totalsRowShown="0">
  <autoFilter ref="A1:I101" xr:uid="{22595191-1704-4DAD-B045-FA2F04CF59FF}"/>
  <sortState xmlns:xlrd2="http://schemas.microsoft.com/office/spreadsheetml/2017/richdata2" ref="A2:I101">
    <sortCondition ref="B1:B101"/>
  </sortState>
  <tableColumns count="9">
    <tableColumn id="1" xr3:uid="{573F2863-704A-459C-9EBD-42757DB1F58F}" name="Id" dataDxfId="35">
      <calculatedColumnFormula>ROW(Table2[[#This Row],[Footprint]])</calculatedColumnFormula>
    </tableColumn>
    <tableColumn id="2" xr3:uid="{94458B27-EAA7-4644-96D5-025617151FB9}" name="Footprint" dataDxfId="34"/>
    <tableColumn id="3" xr3:uid="{E80410E2-6881-4DFC-8748-8A0D261433F2}" name="Quantity" dataDxfId="33"/>
    <tableColumn id="4" xr3:uid="{1CA2020F-6B3F-4E8B-8012-03FDA5CF807D}" name="Designation" dataDxfId="32"/>
    <tableColumn id="10" xr3:uid="{C119C6F9-CB21-43A0-B289-A2AD9A4E4274}" name="Voltage comp" dataDxfId="31"/>
    <tableColumn id="9" xr3:uid="{07CA118E-230B-4E63-B486-A70F92B6979D}" name="Voltage requirements" dataDxfId="30"/>
    <tableColumn id="5" xr3:uid="{37D2A461-BCEF-4038-BCE9-6676ADE9155B}" name="Total">
      <calculatedColumnFormula>Table2[[#This Row],[Quantity]]*$M$3</calculatedColumnFormula>
    </tableColumn>
    <tableColumn id="6" xr3:uid="{4C6DF7CF-2E5F-4ECA-A520-C9BDA8B38EA1}" name="Personal Stock"/>
    <tableColumn id="7" xr3:uid="{0BE67764-592A-43FD-8413-C7CDBA42BEAE}" name="BUY / HIVE" dataDxfId="29">
      <calculatedColumnFormula>IF(Table2[[#This Row],[Total]]-Table2[[#This Row],[Personal Stock]]&lt;=0,0,Table2[[#This Row],[Total]]-Table2[[#This Row],[Personal Stock]])</calculatedColumnFormula>
    </tableColumn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www.first4magnets.com/us/product/n42-neodymium-diametrically-magnetised-disc-magnet-1-4-in-dia-x-1-32-in-thick-20413?variant=115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4"/>
  <sheetViews>
    <sheetView topLeftCell="B7" zoomScale="114" zoomScaleNormal="130" workbookViewId="0">
      <selection activeCell="J28" sqref="J28"/>
    </sheetView>
  </sheetViews>
  <sheetFormatPr defaultRowHeight="14.4" x14ac:dyDescent="0.3"/>
  <cols>
    <col min="1" max="1" width="58.109375" customWidth="1"/>
    <col min="2" max="2" width="18.33203125" customWidth="1"/>
    <col min="3" max="3" width="11.21875" style="1" customWidth="1"/>
    <col min="4" max="4" width="19" customWidth="1"/>
    <col min="5" max="5" width="18.77734375" customWidth="1"/>
    <col min="6" max="6" width="17.5546875" customWidth="1"/>
    <col min="7" max="7" width="16.6640625" style="1" customWidth="1"/>
    <col min="8" max="8" width="11.21875" style="1" customWidth="1"/>
    <col min="9" max="9" width="11.109375" style="1" customWidth="1"/>
    <col min="11" max="11" width="166.44140625" customWidth="1"/>
  </cols>
  <sheetData>
    <row r="1" spans="1:11" x14ac:dyDescent="0.3">
      <c r="A1" s="4" t="s">
        <v>0</v>
      </c>
      <c r="B1" s="2" t="s">
        <v>1</v>
      </c>
      <c r="C1" s="3" t="s">
        <v>3</v>
      </c>
      <c r="D1" s="2" t="s">
        <v>43</v>
      </c>
      <c r="E1" s="27" t="s">
        <v>45</v>
      </c>
      <c r="F1" s="27" t="s">
        <v>44</v>
      </c>
      <c r="G1" s="21" t="s">
        <v>5</v>
      </c>
      <c r="H1" s="20" t="s">
        <v>23</v>
      </c>
      <c r="I1" s="20" t="s">
        <v>24</v>
      </c>
      <c r="J1" s="5" t="s">
        <v>8</v>
      </c>
      <c r="K1" s="6" t="s">
        <v>2</v>
      </c>
    </row>
    <row r="2" spans="1:11" ht="24.6" x14ac:dyDescent="0.3">
      <c r="A2" s="7" t="s">
        <v>6</v>
      </c>
      <c r="B2" s="8" t="s">
        <v>7</v>
      </c>
      <c r="C2" s="9">
        <f>3.85</f>
        <v>3.85</v>
      </c>
      <c r="D2" s="8">
        <v>1</v>
      </c>
      <c r="E2" s="8">
        <v>1</v>
      </c>
      <c r="F2" s="28">
        <v>0</v>
      </c>
      <c r="G2" s="9">
        <v>7</v>
      </c>
      <c r="H2" s="22" t="s">
        <v>25</v>
      </c>
      <c r="I2" s="24" t="s">
        <v>25</v>
      </c>
      <c r="J2" s="10">
        <f>Table1[[#This Row],[Unit Price]]*Table1[[#This Row],[Total Quantity 6 + 2]]+Table1[[#This Row],[Shipping Costs]]</f>
        <v>10.85</v>
      </c>
      <c r="K2" s="19" t="s">
        <v>9</v>
      </c>
    </row>
    <row r="3" spans="1:11" ht="24.6" x14ac:dyDescent="0.3">
      <c r="A3" s="15" t="s">
        <v>157</v>
      </c>
      <c r="B3" s="11" t="s">
        <v>20</v>
      </c>
      <c r="C3" s="13">
        <f>30.91/2</f>
        <v>15.455</v>
      </c>
      <c r="D3" s="11">
        <v>1</v>
      </c>
      <c r="E3" s="11">
        <v>2</v>
      </c>
      <c r="F3" s="29">
        <v>0</v>
      </c>
      <c r="G3" s="13">
        <v>0</v>
      </c>
      <c r="H3" s="23" t="s">
        <v>25</v>
      </c>
      <c r="I3" s="25" t="s">
        <v>25</v>
      </c>
      <c r="J3" s="26">
        <f>Table1[[#This Row],[Unit Price]]*Table1[[#This Row],[Total Quantity 6 + 2]]+Table1[[#This Row],[Shipping Costs]]</f>
        <v>30.91</v>
      </c>
      <c r="K3" s="49"/>
    </row>
    <row r="4" spans="1:11" ht="24.6" x14ac:dyDescent="0.3">
      <c r="A4" s="15" t="s">
        <v>11</v>
      </c>
      <c r="B4" s="11" t="s">
        <v>12</v>
      </c>
      <c r="C4" s="13">
        <v>17.05</v>
      </c>
      <c r="D4" s="11">
        <v>1</v>
      </c>
      <c r="E4" s="11">
        <v>2</v>
      </c>
      <c r="F4" s="29">
        <v>0</v>
      </c>
      <c r="G4" s="13">
        <v>0</v>
      </c>
      <c r="H4" s="23" t="s">
        <v>25</v>
      </c>
      <c r="I4" s="25" t="s">
        <v>25</v>
      </c>
      <c r="J4" s="14">
        <f>Table1[[#This Row],[Unit Price]]*Table1[[#This Row],[Total Quantity 6 + 2]]+Table1[[#This Row],[Shipping Costs]]</f>
        <v>34.1</v>
      </c>
      <c r="K4" s="11" t="s">
        <v>10</v>
      </c>
    </row>
    <row r="5" spans="1:11" x14ac:dyDescent="0.3">
      <c r="A5" s="17" t="s">
        <v>13</v>
      </c>
      <c r="B5" s="18" t="s">
        <v>14</v>
      </c>
      <c r="C5" s="13">
        <v>0</v>
      </c>
      <c r="D5" s="11">
        <v>4</v>
      </c>
      <c r="E5" s="11">
        <v>32</v>
      </c>
      <c r="F5" s="29">
        <v>0</v>
      </c>
      <c r="G5" s="13">
        <v>0</v>
      </c>
      <c r="H5" s="23" t="s">
        <v>25</v>
      </c>
      <c r="I5" s="25" t="s">
        <v>25</v>
      </c>
      <c r="J5" s="14">
        <f>Table1[[#This Row],[Unit Price]]*Table1[[#This Row],[Total Quantity 6 + 2]]+Table1[[#This Row],[Shipping Costs]]</f>
        <v>0</v>
      </c>
      <c r="K5" s="11" t="s">
        <v>15</v>
      </c>
    </row>
    <row r="6" spans="1:11" x14ac:dyDescent="0.3">
      <c r="A6" s="16" t="s">
        <v>39</v>
      </c>
      <c r="B6" s="11" t="s">
        <v>20</v>
      </c>
      <c r="C6" s="13">
        <v>3.71</v>
      </c>
      <c r="D6" s="11">
        <v>3</v>
      </c>
      <c r="E6" s="11">
        <v>4</v>
      </c>
      <c r="F6" s="29">
        <v>1</v>
      </c>
      <c r="G6" s="13">
        <v>1</v>
      </c>
      <c r="H6" s="23" t="s">
        <v>25</v>
      </c>
      <c r="I6" s="25" t="s">
        <v>25</v>
      </c>
      <c r="J6" s="14">
        <f>Table1[[#This Row],[Unit Price]]*Table1[[#This Row],[Total Quantity 6 + 2]]+Table1[[#This Row],[Shipping Costs]]</f>
        <v>15.84</v>
      </c>
      <c r="K6" s="11" t="s">
        <v>16</v>
      </c>
    </row>
    <row r="7" spans="1:11" x14ac:dyDescent="0.3">
      <c r="A7" s="12" t="s">
        <v>17</v>
      </c>
      <c r="B7" s="11" t="s">
        <v>19</v>
      </c>
      <c r="C7" s="13">
        <v>61.53</v>
      </c>
      <c r="D7" s="11">
        <v>1</v>
      </c>
      <c r="E7" s="11">
        <v>1</v>
      </c>
      <c r="F7" s="29">
        <v>0</v>
      </c>
      <c r="G7" s="13"/>
      <c r="H7" s="23" t="s">
        <v>25</v>
      </c>
      <c r="I7" s="25" t="s">
        <v>25</v>
      </c>
      <c r="J7" s="14">
        <f>Table1[[#This Row],[Unit Price]]*Table1[[#This Row],[Total Quantity 6 + 2]]+Table1[[#This Row],[Shipping Costs]]</f>
        <v>61.53</v>
      </c>
      <c r="K7" s="11"/>
    </row>
    <row r="8" spans="1:11" x14ac:dyDescent="0.3">
      <c r="A8" s="12" t="s">
        <v>18</v>
      </c>
      <c r="B8" s="11" t="s">
        <v>40</v>
      </c>
      <c r="C8" s="13">
        <v>13.23</v>
      </c>
      <c r="D8" s="11">
        <v>1</v>
      </c>
      <c r="E8" s="11">
        <v>1</v>
      </c>
      <c r="F8" s="29">
        <v>0</v>
      </c>
      <c r="G8" s="13"/>
      <c r="H8" s="23" t="s">
        <v>25</v>
      </c>
      <c r="I8" s="25" t="s">
        <v>25</v>
      </c>
      <c r="J8" s="14">
        <f>Table1[[#This Row],[Unit Price]]*Table1[[#This Row],[Total Quantity 6 + 2]]+Table1[[#This Row],[Shipping Costs]]</f>
        <v>13.23</v>
      </c>
      <c r="K8" s="11"/>
    </row>
    <row r="9" spans="1:11" x14ac:dyDescent="0.3">
      <c r="A9" s="12" t="s">
        <v>42</v>
      </c>
      <c r="B9" s="11" t="s">
        <v>40</v>
      </c>
      <c r="C9" s="13">
        <v>28</v>
      </c>
      <c r="D9" s="11">
        <v>1</v>
      </c>
      <c r="E9" s="11">
        <v>1</v>
      </c>
      <c r="F9" s="29">
        <v>1</v>
      </c>
      <c r="G9" s="13">
        <v>16</v>
      </c>
      <c r="H9" s="23" t="s">
        <v>25</v>
      </c>
      <c r="I9" s="25" t="s">
        <v>25</v>
      </c>
      <c r="J9" s="26">
        <f>Table1[[#This Row],[Unit Price]]*Table1[[#This Row],[Total Quantity 6 + 2]]+Table1[[#This Row],[Shipping Costs]]</f>
        <v>44</v>
      </c>
      <c r="K9" s="48"/>
    </row>
    <row r="10" spans="1:11" x14ac:dyDescent="0.3">
      <c r="A10" s="16" t="s">
        <v>27</v>
      </c>
      <c r="B10" s="11" t="s">
        <v>20</v>
      </c>
      <c r="C10" s="13">
        <v>2.68</v>
      </c>
      <c r="D10" s="11">
        <v>2</v>
      </c>
      <c r="E10" s="11">
        <v>3</v>
      </c>
      <c r="F10" s="29">
        <v>1</v>
      </c>
      <c r="G10" s="13">
        <v>0</v>
      </c>
      <c r="H10" s="23" t="s">
        <v>25</v>
      </c>
      <c r="I10" s="25" t="s">
        <v>25</v>
      </c>
      <c r="J10" s="14">
        <f>Table1[[#This Row],[Unit Price]]*Table1[[#This Row],[Total Quantity 6 + 2]]+Table1[[#This Row],[Shipping Costs]]</f>
        <v>8.0400000000000009</v>
      </c>
      <c r="K10" s="11" t="s">
        <v>22</v>
      </c>
    </row>
    <row r="11" spans="1:11" x14ac:dyDescent="0.3">
      <c r="A11" s="16" t="s">
        <v>28</v>
      </c>
      <c r="B11" s="11" t="s">
        <v>20</v>
      </c>
      <c r="C11" s="13">
        <v>2.11</v>
      </c>
      <c r="D11" s="11">
        <v>2</v>
      </c>
      <c r="E11" s="11">
        <v>2</v>
      </c>
      <c r="F11" s="29">
        <v>0</v>
      </c>
      <c r="G11" s="13">
        <v>0</v>
      </c>
      <c r="H11" s="23" t="s">
        <v>25</v>
      </c>
      <c r="I11" s="25" t="s">
        <v>25</v>
      </c>
      <c r="J11" s="14">
        <f>Table1[[#This Row],[Unit Price]]*Table1[[#This Row],[Total Quantity 6 + 2]]+Table1[[#This Row],[Shipping Costs]]</f>
        <v>4.22</v>
      </c>
      <c r="K11" s="11" t="s">
        <v>21</v>
      </c>
    </row>
    <row r="12" spans="1:11" x14ac:dyDescent="0.3">
      <c r="A12" s="12" t="s">
        <v>37</v>
      </c>
      <c r="B12" s="11" t="s">
        <v>14</v>
      </c>
      <c r="C12" s="13"/>
      <c r="D12" s="11">
        <v>1</v>
      </c>
      <c r="E12" s="11">
        <v>6</v>
      </c>
      <c r="F12" s="29">
        <v>2</v>
      </c>
      <c r="G12" s="13"/>
      <c r="H12" s="23" t="s">
        <v>25</v>
      </c>
      <c r="I12" s="25" t="s">
        <v>25</v>
      </c>
      <c r="J12" s="14">
        <f>Table1[[#This Row],[Unit Price]]*Table1[[#This Row],[Total Quantity 6 + 2]]+Table1[[#This Row],[Shipping Costs]]</f>
        <v>0</v>
      </c>
      <c r="K12" s="11"/>
    </row>
    <row r="13" spans="1:11" x14ac:dyDescent="0.3">
      <c r="A13" s="12" t="s">
        <v>29</v>
      </c>
      <c r="B13" s="11" t="s">
        <v>41</v>
      </c>
      <c r="C13" s="13">
        <v>0</v>
      </c>
      <c r="D13" s="11">
        <v>1</v>
      </c>
      <c r="E13" s="11">
        <v>6</v>
      </c>
      <c r="F13" s="29">
        <v>6</v>
      </c>
      <c r="G13" s="13">
        <v>0</v>
      </c>
      <c r="H13" s="23" t="s">
        <v>25</v>
      </c>
      <c r="I13" s="25" t="s">
        <v>25</v>
      </c>
      <c r="J13" s="26">
        <f>Table1[[#This Row],[Unit Price]]*Table1[[#This Row],[Total Quantity 6 + 2]]+Table1[[#This Row],[Shipping Costs]]</f>
        <v>0</v>
      </c>
      <c r="K13" s="11"/>
    </row>
    <row r="14" spans="1:11" x14ac:dyDescent="0.3">
      <c r="A14" s="12" t="s">
        <v>30</v>
      </c>
      <c r="B14" s="11" t="s">
        <v>41</v>
      </c>
      <c r="C14" s="13">
        <v>0</v>
      </c>
      <c r="D14" s="11">
        <v>1</v>
      </c>
      <c r="E14" s="11">
        <v>6</v>
      </c>
      <c r="F14" s="29">
        <v>6</v>
      </c>
      <c r="G14" s="13">
        <v>0</v>
      </c>
      <c r="H14" s="23" t="s">
        <v>25</v>
      </c>
      <c r="I14" s="25" t="s">
        <v>25</v>
      </c>
      <c r="J14" s="14">
        <f>Table1[[#This Row],[Unit Price]]*Table1[[#This Row],[Total Quantity 6 + 2]]+Table1[[#This Row],[Shipping Costs]]</f>
        <v>0</v>
      </c>
      <c r="K14" s="11"/>
    </row>
    <row r="15" spans="1:11" x14ac:dyDescent="0.3">
      <c r="A15" s="12" t="s">
        <v>31</v>
      </c>
      <c r="B15" s="11" t="s">
        <v>32</v>
      </c>
      <c r="C15" s="13">
        <v>0</v>
      </c>
      <c r="D15" s="11">
        <v>4</v>
      </c>
      <c r="E15" s="11">
        <v>24</v>
      </c>
      <c r="F15" s="29">
        <v>0</v>
      </c>
      <c r="G15" s="13">
        <v>0</v>
      </c>
      <c r="H15" s="23" t="s">
        <v>25</v>
      </c>
      <c r="I15" s="25" t="s">
        <v>25</v>
      </c>
      <c r="J15" s="26">
        <f>Table1[[#This Row],[Unit Price]]*Table1[[#This Row],[Total Quantity 6 + 2]]+Table1[[#This Row],[Shipping Costs]]</f>
        <v>0</v>
      </c>
      <c r="K15" s="11"/>
    </row>
    <row r="16" spans="1:11" x14ac:dyDescent="0.3">
      <c r="A16" s="12" t="s">
        <v>33</v>
      </c>
      <c r="B16" s="11" t="s">
        <v>32</v>
      </c>
      <c r="C16" s="13">
        <v>0</v>
      </c>
      <c r="D16" s="11">
        <v>4</v>
      </c>
      <c r="E16" s="11">
        <v>24</v>
      </c>
      <c r="F16" s="29">
        <v>0</v>
      </c>
      <c r="G16" s="13">
        <v>0</v>
      </c>
      <c r="H16" s="23" t="s">
        <v>25</v>
      </c>
      <c r="I16" s="25" t="s">
        <v>25</v>
      </c>
      <c r="J16" s="26">
        <f>Table1[[#This Row],[Unit Price]]*Table1[[#This Row],[Total Quantity 6 + 2]]+Table1[[#This Row],[Shipping Costs]]</f>
        <v>0</v>
      </c>
      <c r="K16" s="11"/>
    </row>
    <row r="17" spans="1:11" x14ac:dyDescent="0.3">
      <c r="A17" s="12" t="s">
        <v>38</v>
      </c>
      <c r="B17" s="11" t="s">
        <v>34</v>
      </c>
      <c r="C17" s="13">
        <v>0</v>
      </c>
      <c r="D17" s="11">
        <v>5</v>
      </c>
      <c r="E17" s="11">
        <v>30</v>
      </c>
      <c r="F17" s="29">
        <v>0</v>
      </c>
      <c r="G17" s="13">
        <v>0</v>
      </c>
      <c r="H17" s="23" t="s">
        <v>25</v>
      </c>
      <c r="I17" s="25" t="s">
        <v>25</v>
      </c>
      <c r="J17" s="26">
        <f>Table1[[#This Row],[Unit Price]]*Table1[[#This Row],[Total Quantity 6 + 2]]+Table1[[#This Row],[Shipping Costs]]</f>
        <v>0</v>
      </c>
      <c r="K17" s="11"/>
    </row>
    <row r="18" spans="1:11" x14ac:dyDescent="0.3">
      <c r="A18" s="12" t="s">
        <v>46</v>
      </c>
      <c r="B18" s="11" t="s">
        <v>47</v>
      </c>
      <c r="C18" s="13">
        <v>0</v>
      </c>
      <c r="D18" s="11">
        <v>1</v>
      </c>
      <c r="E18" s="11">
        <v>8</v>
      </c>
      <c r="F18" s="29">
        <v>0</v>
      </c>
      <c r="G18" s="13"/>
      <c r="H18" s="23" t="s">
        <v>25</v>
      </c>
      <c r="I18" s="25" t="s">
        <v>25</v>
      </c>
      <c r="J18" s="26">
        <f>Table1[[#This Row],[Unit Price]]*Table1[[#This Row],[Total Quantity 6 + 2]]+Table1[[#This Row],[Shipping Costs]]</f>
        <v>0</v>
      </c>
      <c r="K18" s="11"/>
    </row>
    <row r="19" spans="1:11" x14ac:dyDescent="0.3">
      <c r="A19" s="12" t="s">
        <v>48</v>
      </c>
      <c r="B19" s="11" t="s">
        <v>32</v>
      </c>
      <c r="C19" s="13">
        <v>0</v>
      </c>
      <c r="D19" s="11">
        <v>6</v>
      </c>
      <c r="E19" s="11">
        <v>36</v>
      </c>
      <c r="F19" s="29">
        <v>0</v>
      </c>
      <c r="G19" s="13"/>
      <c r="H19" s="23" t="s">
        <v>25</v>
      </c>
      <c r="I19" s="25" t="s">
        <v>25</v>
      </c>
      <c r="J19" s="26">
        <f>Table1[[#This Row],[Unit Price]]*Table1[[#This Row],[Total Quantity 6 + 2]]+Table1[[#This Row],[Shipping Costs]]</f>
        <v>0</v>
      </c>
      <c r="K19" s="11"/>
    </row>
    <row r="20" spans="1:11" x14ac:dyDescent="0.3">
      <c r="A20" s="12" t="s">
        <v>126</v>
      </c>
      <c r="B20" s="11" t="s">
        <v>32</v>
      </c>
      <c r="C20" s="13">
        <v>0</v>
      </c>
      <c r="D20" s="11">
        <v>4</v>
      </c>
      <c r="E20" s="11">
        <v>24</v>
      </c>
      <c r="F20" s="29">
        <v>0</v>
      </c>
      <c r="G20" s="13"/>
      <c r="H20" s="23" t="s">
        <v>25</v>
      </c>
      <c r="I20" s="25" t="s">
        <v>25</v>
      </c>
      <c r="J20" s="26">
        <f>Table1[[#This Row],[Unit Price]]*Table1[[#This Row],[Total Quantity 6 + 2]]+Table1[[#This Row],[Shipping Costs]]</f>
        <v>0</v>
      </c>
      <c r="K20" s="11"/>
    </row>
    <row r="21" spans="1:11" x14ac:dyDescent="0.3">
      <c r="A21" s="12" t="s">
        <v>125</v>
      </c>
      <c r="B21" s="11" t="s">
        <v>32</v>
      </c>
      <c r="C21" s="13">
        <v>0</v>
      </c>
      <c r="D21" s="11">
        <v>6</v>
      </c>
      <c r="E21" s="11">
        <v>36</v>
      </c>
      <c r="F21" s="29">
        <v>0</v>
      </c>
      <c r="G21" s="13"/>
      <c r="H21" s="23" t="s">
        <v>25</v>
      </c>
      <c r="I21" s="25" t="s">
        <v>25</v>
      </c>
      <c r="J21" s="26">
        <f>Table1[[#This Row],[Unit Price]]*Table1[[#This Row],[Total Quantity 6 + 2]]+Table1[[#This Row],[Shipping Costs]]</f>
        <v>0</v>
      </c>
      <c r="K21" s="11"/>
    </row>
    <row r="22" spans="1:11" x14ac:dyDescent="0.3">
      <c r="A22" s="12" t="s">
        <v>153</v>
      </c>
      <c r="B22" s="11" t="s">
        <v>154</v>
      </c>
      <c r="C22" s="13">
        <v>0</v>
      </c>
      <c r="D22" s="11">
        <v>1</v>
      </c>
      <c r="E22" s="11">
        <v>2</v>
      </c>
      <c r="F22" s="29">
        <v>0</v>
      </c>
      <c r="G22" s="13"/>
      <c r="H22" s="23" t="s">
        <v>25</v>
      </c>
      <c r="I22" s="25" t="s">
        <v>25</v>
      </c>
      <c r="J22" s="26">
        <f>Table1[[#This Row],[Unit Price]]*Table1[[#This Row],[Total Quantity 6 + 2]]+Table1[[#This Row],[Shipping Costs]]</f>
        <v>0</v>
      </c>
      <c r="K22" s="11"/>
    </row>
    <row r="23" spans="1:11" x14ac:dyDescent="0.3">
      <c r="A23" s="12" t="s">
        <v>155</v>
      </c>
      <c r="B23" s="11" t="s">
        <v>154</v>
      </c>
      <c r="C23" s="13">
        <v>0</v>
      </c>
      <c r="D23" s="11">
        <v>1</v>
      </c>
      <c r="E23" s="11">
        <v>2</v>
      </c>
      <c r="F23" s="29">
        <v>0</v>
      </c>
      <c r="G23" s="13"/>
      <c r="H23" s="23" t="s">
        <v>25</v>
      </c>
      <c r="I23" s="25" t="s">
        <v>25</v>
      </c>
      <c r="J23" s="26">
        <f>Table1[[#This Row],[Unit Price]]*Table1[[#This Row],[Total Quantity 6 + 2]]+Table1[[#This Row],[Shipping Costs]]</f>
        <v>0</v>
      </c>
      <c r="K23" s="11"/>
    </row>
    <row r="24" spans="1:11" x14ac:dyDescent="0.3">
      <c r="A24" s="12" t="s">
        <v>156</v>
      </c>
      <c r="B24" s="11" t="s">
        <v>154</v>
      </c>
      <c r="C24" s="13">
        <v>0</v>
      </c>
      <c r="D24" s="11">
        <v>1</v>
      </c>
      <c r="E24" s="11">
        <v>2</v>
      </c>
      <c r="F24" s="29">
        <v>0</v>
      </c>
      <c r="G24" s="13"/>
      <c r="H24" s="23" t="s">
        <v>25</v>
      </c>
      <c r="I24" s="25" t="s">
        <v>25</v>
      </c>
      <c r="J24" s="26">
        <f>Table1[[#This Row],[Unit Price]]*Table1[[#This Row],[Total Quantity 6 + 2]]+Table1[[#This Row],[Shipping Costs]]</f>
        <v>0</v>
      </c>
      <c r="K24" s="11"/>
    </row>
    <row r="25" spans="1:11" x14ac:dyDescent="0.3">
      <c r="A25" s="12" t="s">
        <v>158</v>
      </c>
      <c r="B25" s="11" t="s">
        <v>20</v>
      </c>
      <c r="C25" s="13">
        <v>3.97</v>
      </c>
      <c r="D25" s="11">
        <v>1</v>
      </c>
      <c r="E25" s="11">
        <v>2</v>
      </c>
      <c r="F25" s="29">
        <v>0</v>
      </c>
      <c r="G25" s="13"/>
      <c r="H25" s="23" t="s">
        <v>25</v>
      </c>
      <c r="I25" s="25" t="s">
        <v>25</v>
      </c>
      <c r="J25" s="26">
        <f>Table1[[#This Row],[Unit Price]]*Table1[[#This Row],[Total Quantity 6 + 2]]+Table1[[#This Row],[Shipping Costs]]</f>
        <v>7.94</v>
      </c>
      <c r="K25" s="11"/>
    </row>
    <row r="26" spans="1:11" x14ac:dyDescent="0.3">
      <c r="A26" s="12"/>
      <c r="B26" s="11"/>
      <c r="C26" s="13"/>
      <c r="D26" s="11"/>
      <c r="E26" s="11"/>
      <c r="F26" s="29">
        <v>0</v>
      </c>
      <c r="G26" s="13"/>
      <c r="H26" s="23" t="s">
        <v>25</v>
      </c>
      <c r="I26" s="25" t="s">
        <v>25</v>
      </c>
      <c r="J26" s="26">
        <f>Table1[[#This Row],[Unit Price]]*Table1[[#This Row],[Total Quantity 6 + 2]]+Table1[[#This Row],[Shipping Costs]]</f>
        <v>0</v>
      </c>
      <c r="K26" s="11"/>
    </row>
    <row r="27" spans="1:11" x14ac:dyDescent="0.3">
      <c r="A27" s="12" t="s">
        <v>171</v>
      </c>
      <c r="B27" s="11" t="s">
        <v>40</v>
      </c>
      <c r="C27" s="13"/>
      <c r="D27" s="11">
        <v>1</v>
      </c>
      <c r="E27" s="11">
        <v>1</v>
      </c>
      <c r="F27" s="29"/>
      <c r="G27" s="13"/>
      <c r="H27" s="23" t="s">
        <v>26</v>
      </c>
      <c r="I27" s="25" t="s">
        <v>26</v>
      </c>
      <c r="J27" s="26">
        <f>Table1[[#This Row],[Unit Price]]*Table1[[#This Row],[Total Quantity 6 + 2]]+Table1[[#This Row],[Shipping Costs]]</f>
        <v>0</v>
      </c>
      <c r="K27" s="11"/>
    </row>
    <row r="28" spans="1:11" x14ac:dyDescent="0.3">
      <c r="A28" s="12" t="s">
        <v>172</v>
      </c>
      <c r="B28" s="11" t="s">
        <v>19</v>
      </c>
      <c r="C28" s="13"/>
      <c r="D28" s="11">
        <v>1</v>
      </c>
      <c r="E28" s="11">
        <v>1</v>
      </c>
      <c r="F28" s="29"/>
      <c r="G28" s="13"/>
      <c r="H28" s="23" t="s">
        <v>26</v>
      </c>
      <c r="I28" s="25" t="s">
        <v>26</v>
      </c>
      <c r="J28" s="26">
        <f>Table1[[#This Row],[Unit Price]]*Table1[[#This Row],[Total Quantity 6 + 2]]+Table1[[#This Row],[Shipping Costs]]</f>
        <v>0</v>
      </c>
      <c r="K28" s="11"/>
    </row>
    <row r="29" spans="1:11" x14ac:dyDescent="0.3">
      <c r="A29" s="12" t="s">
        <v>169</v>
      </c>
      <c r="B29" s="11" t="s">
        <v>170</v>
      </c>
      <c r="C29" s="13">
        <f>50*1.15</f>
        <v>57.499999999999993</v>
      </c>
      <c r="D29" s="11">
        <v>1</v>
      </c>
      <c r="E29" s="11">
        <v>1</v>
      </c>
      <c r="F29" s="29">
        <v>0</v>
      </c>
      <c r="G29" s="13"/>
      <c r="H29" s="23" t="s">
        <v>25</v>
      </c>
      <c r="I29" s="25" t="s">
        <v>26</v>
      </c>
      <c r="J29" s="26">
        <f>Table1[[#This Row],[Unit Price]]*Table1[[#This Row],[Total Quantity 6 + 2]]+Table1[[#This Row],[Shipping Costs]]</f>
        <v>57.499999999999993</v>
      </c>
      <c r="K29" s="11"/>
    </row>
    <row r="30" spans="1:11" x14ac:dyDescent="0.3">
      <c r="A30" s="12"/>
      <c r="B30" s="11"/>
      <c r="C30" s="13"/>
      <c r="D30" s="11"/>
      <c r="E30" s="11"/>
      <c r="F30" s="29"/>
      <c r="G30" s="13"/>
      <c r="H30" s="23"/>
      <c r="I30" s="25"/>
      <c r="J30" s="26">
        <f>Table1[[#This Row],[Unit Price]]*Table1[[#This Row],[Total Quantity 6 + 2]]+Table1[[#This Row],[Shipping Costs]]</f>
        <v>0</v>
      </c>
      <c r="K30" s="11"/>
    </row>
    <row r="31" spans="1:11" x14ac:dyDescent="0.3">
      <c r="A31" s="12" t="s">
        <v>35</v>
      </c>
      <c r="B31" s="11"/>
      <c r="C31" s="13"/>
      <c r="D31" s="11"/>
      <c r="E31" s="11"/>
      <c r="F31" s="29"/>
      <c r="G31" s="13"/>
      <c r="H31" s="23"/>
      <c r="I31" s="25"/>
      <c r="J31" s="26">
        <f>Table1[[#This Row],[Unit Price]]*Table1[[#This Row],[Total Quantity 6 + 2]]+Table1[[#This Row],[Shipping Costs]]</f>
        <v>0</v>
      </c>
      <c r="K31" s="11"/>
    </row>
    <row r="32" spans="1:11" x14ac:dyDescent="0.3">
      <c r="A32" s="12" t="s">
        <v>36</v>
      </c>
      <c r="B32" s="11"/>
      <c r="C32" s="13"/>
      <c r="D32" s="11"/>
      <c r="E32" s="11"/>
      <c r="F32" s="29"/>
      <c r="G32" s="13"/>
      <c r="H32" s="23"/>
      <c r="I32" s="25"/>
      <c r="J32" s="26">
        <f>Table1[[#This Row],[Unit Price]]*Table1[[#This Row],[Total Quantity 6 + 2]]+Table1[[#This Row],[Shipping Costs]]</f>
        <v>0</v>
      </c>
      <c r="K32" s="11"/>
    </row>
    <row r="33" spans="1:11" x14ac:dyDescent="0.3">
      <c r="A33" s="12"/>
      <c r="B33" s="11"/>
      <c r="C33" s="13"/>
      <c r="D33" s="11"/>
      <c r="E33" s="11"/>
      <c r="F33" s="29"/>
      <c r="G33" s="13"/>
      <c r="H33" s="23"/>
      <c r="I33" s="25"/>
      <c r="J33" s="14">
        <f>Table1[[#This Row],[Unit Price]]*Table1[[#This Row],[Total Quantity 6 + 2]]+Table1[[#This Row],[Shipping Costs]]</f>
        <v>0</v>
      </c>
      <c r="K33" s="11"/>
    </row>
    <row r="34" spans="1:11" x14ac:dyDescent="0.3">
      <c r="A34" s="12"/>
      <c r="B34" s="11"/>
      <c r="C34" s="13"/>
      <c r="D34" s="11"/>
      <c r="E34" s="11"/>
      <c r="F34" s="29"/>
      <c r="G34" s="13"/>
      <c r="H34" s="23"/>
      <c r="I34" s="25"/>
      <c r="J34" s="14">
        <f>SUM(Table1[Total])</f>
        <v>288.15999999999997</v>
      </c>
      <c r="K34" s="11"/>
    </row>
  </sheetData>
  <conditionalFormatting sqref="F2:F34">
    <cfRule type="cellIs" dxfId="2" priority="1" operator="equal">
      <formula>0</formula>
    </cfRule>
  </conditionalFormatting>
  <conditionalFormatting sqref="H2:I34">
    <cfRule type="cellIs" dxfId="1" priority="2" operator="equal">
      <formula>"Yes"</formula>
    </cfRule>
  </conditionalFormatting>
  <hyperlinks>
    <hyperlink ref="K2" r:id="rId1" xr:uid="{291F97FF-5198-4A74-A97A-4D0D009DC67D}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86835-DDBE-4844-A8EA-1CAF4B158E48}">
  <dimension ref="A1:M101"/>
  <sheetViews>
    <sheetView tabSelected="1" zoomScale="75" workbookViewId="0">
      <selection activeCell="H16" sqref="H16"/>
    </sheetView>
  </sheetViews>
  <sheetFormatPr defaultRowHeight="14.4" x14ac:dyDescent="0.3"/>
  <cols>
    <col min="1" max="1" width="16.109375" style="32" customWidth="1"/>
    <col min="2" max="2" width="44.5546875" style="31" customWidth="1"/>
    <col min="3" max="3" width="14.33203125" style="32" customWidth="1"/>
    <col min="4" max="5" width="19" style="30" customWidth="1"/>
    <col min="6" max="6" width="21.88671875" style="30" customWidth="1"/>
    <col min="7" max="7" width="12.88671875" customWidth="1"/>
    <col min="8" max="8" width="16.77734375" customWidth="1"/>
    <col min="9" max="9" width="18.77734375" customWidth="1"/>
    <col min="10" max="10" width="15" customWidth="1"/>
    <col min="12" max="12" width="23.5546875" customWidth="1"/>
  </cols>
  <sheetData>
    <row r="1" spans="1:13" x14ac:dyDescent="0.3">
      <c r="A1" s="32" t="s">
        <v>49</v>
      </c>
      <c r="B1" s="31" t="s">
        <v>50</v>
      </c>
      <c r="C1" s="32" t="s">
        <v>4</v>
      </c>
      <c r="D1" s="30" t="s">
        <v>51</v>
      </c>
      <c r="E1" s="30" t="s">
        <v>134</v>
      </c>
      <c r="F1" s="30" t="s">
        <v>133</v>
      </c>
      <c r="G1" t="s">
        <v>8</v>
      </c>
      <c r="H1" t="s">
        <v>52</v>
      </c>
      <c r="I1" t="s">
        <v>53</v>
      </c>
    </row>
    <row r="2" spans="1:13" x14ac:dyDescent="0.3">
      <c r="A2" s="32">
        <f>ROW(Table2[[#This Row],[Footprint]])</f>
        <v>2</v>
      </c>
      <c r="B2" s="31">
        <v>2512</v>
      </c>
      <c r="C2" s="32">
        <v>2</v>
      </c>
      <c r="D2" s="30" t="s">
        <v>82</v>
      </c>
      <c r="G2">
        <f>Table2[[#This Row],[Quantity]]*$M$3</f>
        <v>14</v>
      </c>
      <c r="H2">
        <v>10</v>
      </c>
      <c r="I2">
        <f>IF(Table2[[#This Row],[Total]]-Table2[[#This Row],[Personal Stock]]&lt;=0,0,Table2[[#This Row],[Total]]-Table2[[#This Row],[Personal Stock]])</f>
        <v>4</v>
      </c>
      <c r="J2" t="s">
        <v>19</v>
      </c>
    </row>
    <row r="3" spans="1:13" x14ac:dyDescent="0.3">
      <c r="A3" s="32">
        <f>ROW(Table2[[#This Row],[Footprint]])</f>
        <v>3</v>
      </c>
      <c r="B3" s="31" t="s">
        <v>121</v>
      </c>
      <c r="C3" s="32">
        <v>1</v>
      </c>
      <c r="D3" s="30" t="s">
        <v>54</v>
      </c>
      <c r="G3">
        <f>Table2[[#This Row],[Quantity]]*$M$3</f>
        <v>7</v>
      </c>
      <c r="H3">
        <v>50</v>
      </c>
      <c r="I3">
        <f>IF(Table2[[#This Row],[Total]]-Table2[[#This Row],[Personal Stock]]&lt;=0,0,Table2[[#This Row],[Total]]-Table2[[#This Row],[Personal Stock]])</f>
        <v>0</v>
      </c>
      <c r="L3" s="33" t="s">
        <v>56</v>
      </c>
      <c r="M3" s="33">
        <v>7</v>
      </c>
    </row>
    <row r="4" spans="1:13" ht="15" thickBot="1" x14ac:dyDescent="0.35">
      <c r="A4" s="32">
        <f>ROW(Table2[[#This Row],[Footprint]])</f>
        <v>4</v>
      </c>
      <c r="B4" s="31" t="s">
        <v>122</v>
      </c>
      <c r="C4" s="32">
        <v>4</v>
      </c>
      <c r="D4" s="30" t="s">
        <v>149</v>
      </c>
      <c r="G4">
        <f>Table2[[#This Row],[Quantity]]*$M$3</f>
        <v>28</v>
      </c>
      <c r="I4">
        <f>IF(Table2[[#This Row],[Total]]-Table2[[#This Row],[Personal Stock]]&lt;=0,0,Table2[[#This Row],[Total]]-Table2[[#This Row],[Personal Stock]])</f>
        <v>28</v>
      </c>
      <c r="L4" s="33"/>
      <c r="M4" s="33"/>
    </row>
    <row r="5" spans="1:13" x14ac:dyDescent="0.3">
      <c r="A5" s="34">
        <f>ROW(Table2[[#This Row],[Footprint]])</f>
        <v>5</v>
      </c>
      <c r="B5" s="35" t="s">
        <v>122</v>
      </c>
      <c r="C5" s="36">
        <v>1</v>
      </c>
      <c r="D5" s="37" t="s">
        <v>55</v>
      </c>
      <c r="E5" s="37"/>
      <c r="F5" s="37"/>
      <c r="G5" s="38">
        <f>Table2[[#This Row],[Quantity]]*$M$3</f>
        <v>7</v>
      </c>
      <c r="H5" s="38"/>
      <c r="I5" s="39">
        <f>IF(Table2[[#This Row],[Total]]-Table2[[#This Row],[Personal Stock]]&lt;=0,0,Table2[[#This Row],[Total]]-Table2[[#This Row],[Personal Stock]])</f>
        <v>7</v>
      </c>
      <c r="L5" s="33" t="s">
        <v>58</v>
      </c>
      <c r="M5" s="33">
        <v>2</v>
      </c>
    </row>
    <row r="6" spans="1:13" x14ac:dyDescent="0.3">
      <c r="A6" s="40">
        <f>ROW(Table2[[#This Row],[Footprint]])</f>
        <v>6</v>
      </c>
      <c r="B6" s="31" t="s">
        <v>122</v>
      </c>
      <c r="C6" s="32">
        <v>1</v>
      </c>
      <c r="D6" s="30" t="s">
        <v>57</v>
      </c>
      <c r="G6">
        <f>Table2[[#This Row],[Quantity]]*$M$3</f>
        <v>7</v>
      </c>
      <c r="I6" s="41">
        <f>IF(Table2[[#This Row],[Total]]-Table2[[#This Row],[Personal Stock]]&lt;=0,0,Table2[[#This Row],[Total]]-Table2[[#This Row],[Personal Stock]])</f>
        <v>7</v>
      </c>
    </row>
    <row r="7" spans="1:13" x14ac:dyDescent="0.3">
      <c r="A7" s="40">
        <f>ROW(Table2[[#This Row],[Footprint]])</f>
        <v>7</v>
      </c>
      <c r="B7" s="31" t="s">
        <v>122</v>
      </c>
      <c r="C7" s="32">
        <v>14</v>
      </c>
      <c r="D7" s="30" t="s">
        <v>59</v>
      </c>
      <c r="E7" s="30" t="s">
        <v>136</v>
      </c>
      <c r="F7" s="30" t="s">
        <v>135</v>
      </c>
      <c r="G7">
        <f>Table2[[#This Row],[Quantity]]*$M$3</f>
        <v>98</v>
      </c>
      <c r="H7">
        <v>500</v>
      </c>
      <c r="I7" s="41">
        <f>IF(Table2[[#This Row],[Total]]-Table2[[#This Row],[Personal Stock]]&lt;=0,0,Table2[[#This Row],[Total]]-Table2[[#This Row],[Personal Stock]])</f>
        <v>0</v>
      </c>
    </row>
    <row r="8" spans="1:13" x14ac:dyDescent="0.3">
      <c r="A8" s="40">
        <f>ROW(Table2[[#This Row],[Footprint]])</f>
        <v>8</v>
      </c>
      <c r="B8" s="31" t="s">
        <v>122</v>
      </c>
      <c r="C8" s="32">
        <v>1</v>
      </c>
      <c r="D8" s="30" t="s">
        <v>60</v>
      </c>
      <c r="G8">
        <f>Table2[[#This Row],[Quantity]]*$M$3</f>
        <v>7</v>
      </c>
      <c r="I8" s="41">
        <f>IF(Table2[[#This Row],[Total]]-Table2[[#This Row],[Personal Stock]]&lt;=0,0,Table2[[#This Row],[Total]]-Table2[[#This Row],[Personal Stock]])</f>
        <v>7</v>
      </c>
    </row>
    <row r="9" spans="1:13" x14ac:dyDescent="0.3">
      <c r="A9" s="40">
        <f>ROW(Table2[[#This Row],[Footprint]])</f>
        <v>9</v>
      </c>
      <c r="B9" s="31" t="s">
        <v>122</v>
      </c>
      <c r="C9" s="32">
        <v>2</v>
      </c>
      <c r="D9" s="30" t="s">
        <v>61</v>
      </c>
      <c r="G9">
        <f>Table2[[#This Row],[Quantity]]*$M$3</f>
        <v>14</v>
      </c>
      <c r="I9" s="41">
        <f>IF(Table2[[#This Row],[Total]]-Table2[[#This Row],[Personal Stock]]&lt;=0,0,Table2[[#This Row],[Total]]-Table2[[#This Row],[Personal Stock]])</f>
        <v>14</v>
      </c>
    </row>
    <row r="10" spans="1:13" x14ac:dyDescent="0.3">
      <c r="A10" s="40">
        <f>ROW(Table2[[#This Row],[Footprint]])</f>
        <v>10</v>
      </c>
      <c r="B10" s="31" t="s">
        <v>122</v>
      </c>
      <c r="C10" s="32">
        <v>9</v>
      </c>
      <c r="D10" s="30" t="s">
        <v>62</v>
      </c>
      <c r="G10">
        <f>Table2[[#This Row],[Quantity]]*$M$3</f>
        <v>63</v>
      </c>
      <c r="I10" s="41">
        <f>IF(Table2[[#This Row],[Total]]-Table2[[#This Row],[Personal Stock]]&lt;=0,0,Table2[[#This Row],[Total]]-Table2[[#This Row],[Personal Stock]])</f>
        <v>63</v>
      </c>
    </row>
    <row r="11" spans="1:13" x14ac:dyDescent="0.3">
      <c r="A11" s="40">
        <f>ROW(Table2[[#This Row],[Footprint]])</f>
        <v>11</v>
      </c>
      <c r="B11" s="31" t="s">
        <v>122</v>
      </c>
      <c r="C11" s="32">
        <v>2</v>
      </c>
      <c r="D11" s="30" t="s">
        <v>63</v>
      </c>
      <c r="G11">
        <f>Table2[[#This Row],[Quantity]]*$M$3</f>
        <v>14</v>
      </c>
      <c r="H11">
        <v>100</v>
      </c>
      <c r="I11" s="41">
        <f>IF(Table2[[#This Row],[Total]]-Table2[[#This Row],[Personal Stock]]&lt;=0,0,Table2[[#This Row],[Total]]-Table2[[#This Row],[Personal Stock]])</f>
        <v>0</v>
      </c>
    </row>
    <row r="12" spans="1:13" x14ac:dyDescent="0.3">
      <c r="A12" s="40">
        <f>ROW(Table2[[#This Row],[Footprint]])</f>
        <v>12</v>
      </c>
      <c r="B12" s="31" t="s">
        <v>122</v>
      </c>
      <c r="C12" s="32">
        <v>4</v>
      </c>
      <c r="D12" s="30" t="s">
        <v>64</v>
      </c>
      <c r="G12">
        <f>Table2[[#This Row],[Quantity]]*$M$3</f>
        <v>28</v>
      </c>
      <c r="I12" s="41">
        <f>IF(Table2[[#This Row],[Total]]-Table2[[#This Row],[Personal Stock]]&lt;=0,0,Table2[[#This Row],[Total]]-Table2[[#This Row],[Personal Stock]])</f>
        <v>28</v>
      </c>
    </row>
    <row r="13" spans="1:13" x14ac:dyDescent="0.3">
      <c r="A13" s="40">
        <f>ROW(Table2[[#This Row],[Footprint]])</f>
        <v>13</v>
      </c>
      <c r="B13" s="31" t="s">
        <v>122</v>
      </c>
      <c r="C13" s="32">
        <v>1</v>
      </c>
      <c r="D13" s="30" t="s">
        <v>137</v>
      </c>
      <c r="G13">
        <f>Table2[[#This Row],[Quantity]]*$M$3</f>
        <v>7</v>
      </c>
      <c r="I13" s="41">
        <f>IF(Table2[[#This Row],[Total]]-Table2[[#This Row],[Personal Stock]]&lt;=0,0,Table2[[#This Row],[Total]]-Table2[[#This Row],[Personal Stock]])</f>
        <v>7</v>
      </c>
    </row>
    <row r="14" spans="1:13" x14ac:dyDescent="0.3">
      <c r="A14" s="40">
        <f>ROW(Table2[[#This Row],[Footprint]])</f>
        <v>14</v>
      </c>
      <c r="B14" s="31" t="s">
        <v>122</v>
      </c>
      <c r="C14" s="32">
        <v>2</v>
      </c>
      <c r="D14" s="30" t="s">
        <v>159</v>
      </c>
      <c r="G14">
        <f>Table2[[#This Row],[Quantity]]*$M$3</f>
        <v>14</v>
      </c>
      <c r="I14" s="41">
        <f>IF(Table2[[#This Row],[Total]]-Table2[[#This Row],[Personal Stock]]&lt;=0,0,Table2[[#This Row],[Total]]-Table2[[#This Row],[Personal Stock]])</f>
        <v>14</v>
      </c>
    </row>
    <row r="15" spans="1:13" x14ac:dyDescent="0.3">
      <c r="A15" s="40">
        <f>ROW(Table2[[#This Row],[Footprint]])</f>
        <v>15</v>
      </c>
      <c r="B15" s="31" t="s">
        <v>122</v>
      </c>
      <c r="C15" s="32">
        <v>1</v>
      </c>
      <c r="D15" s="30" t="s">
        <v>65</v>
      </c>
      <c r="G15">
        <f>Table2[[#This Row],[Quantity]]*$M$3</f>
        <v>7</v>
      </c>
      <c r="H15">
        <v>20</v>
      </c>
      <c r="I15" s="41">
        <f>IF(Table2[[#This Row],[Total]]-Table2[[#This Row],[Personal Stock]]&lt;=0,0,Table2[[#This Row],[Total]]-Table2[[#This Row],[Personal Stock]])</f>
        <v>0</v>
      </c>
    </row>
    <row r="16" spans="1:13" x14ac:dyDescent="0.3">
      <c r="A16" s="40">
        <f>ROW(Table2[[#This Row],[Footprint]])</f>
        <v>16</v>
      </c>
      <c r="B16" s="31" t="s">
        <v>122</v>
      </c>
      <c r="C16" s="32">
        <v>2</v>
      </c>
      <c r="D16" s="30" t="s">
        <v>66</v>
      </c>
      <c r="G16">
        <f>Table2[[#This Row],[Quantity]]*$M$3</f>
        <v>14</v>
      </c>
      <c r="I16" s="41">
        <f>IF(Table2[[#This Row],[Total]]-Table2[[#This Row],[Personal Stock]]&lt;=0,0,Table2[[#This Row],[Total]]-Table2[[#This Row],[Personal Stock]])</f>
        <v>14</v>
      </c>
    </row>
    <row r="17" spans="1:10" x14ac:dyDescent="0.3">
      <c r="A17" s="40">
        <f>ROW(Table2[[#This Row],[Footprint]])</f>
        <v>17</v>
      </c>
      <c r="B17" s="31" t="s">
        <v>122</v>
      </c>
      <c r="C17" s="32">
        <v>1</v>
      </c>
      <c r="D17" s="30" t="s">
        <v>165</v>
      </c>
      <c r="G17">
        <f>Table2[[#This Row],[Quantity]]*$M$3</f>
        <v>7</v>
      </c>
      <c r="I17" s="41">
        <f>IF(Table2[[#This Row],[Total]]-Table2[[#This Row],[Personal Stock]]&lt;=0,0,Table2[[#This Row],[Total]]-Table2[[#This Row],[Personal Stock]])</f>
        <v>7</v>
      </c>
    </row>
    <row r="18" spans="1:10" x14ac:dyDescent="0.3">
      <c r="A18" s="40">
        <f>ROW(Table2[[#This Row],[Footprint]])</f>
        <v>18</v>
      </c>
      <c r="B18" s="31" t="s">
        <v>122</v>
      </c>
      <c r="C18" s="32">
        <v>2</v>
      </c>
      <c r="D18" s="30">
        <v>56</v>
      </c>
      <c r="G18">
        <f>Table2[[#This Row],[Quantity]]*$M$3</f>
        <v>14</v>
      </c>
      <c r="I18" s="41">
        <f>IF(Table2[[#This Row],[Total]]-Table2[[#This Row],[Personal Stock]]&lt;=0,0,Table2[[#This Row],[Total]]-Table2[[#This Row],[Personal Stock]])</f>
        <v>14</v>
      </c>
    </row>
    <row r="19" spans="1:10" x14ac:dyDescent="0.3">
      <c r="A19" s="40">
        <f>ROW(Table2[[#This Row],[Footprint]])</f>
        <v>19</v>
      </c>
      <c r="B19" s="31" t="s">
        <v>122</v>
      </c>
      <c r="C19" s="32">
        <v>2</v>
      </c>
      <c r="D19" s="30" t="s">
        <v>67</v>
      </c>
      <c r="E19" s="30" t="s">
        <v>144</v>
      </c>
      <c r="G19">
        <f>Table2[[#This Row],[Quantity]]*$M$3</f>
        <v>14</v>
      </c>
      <c r="I19" s="41">
        <f>IF(Table2[[#This Row],[Total]]-Table2[[#This Row],[Personal Stock]]&lt;=0,0,Table2[[#This Row],[Total]]-Table2[[#This Row],[Personal Stock]])</f>
        <v>14</v>
      </c>
    </row>
    <row r="20" spans="1:10" x14ac:dyDescent="0.3">
      <c r="A20" s="40">
        <f>ROW(Table2[[#This Row],[Footprint]])</f>
        <v>20</v>
      </c>
      <c r="B20" s="31" t="s">
        <v>122</v>
      </c>
      <c r="C20" s="32">
        <v>1</v>
      </c>
      <c r="D20" s="30" t="s">
        <v>68</v>
      </c>
      <c r="G20">
        <f>Table2[[#This Row],[Quantity]]*$M$3</f>
        <v>7</v>
      </c>
      <c r="I20" s="41">
        <f>IF(Table2[[#This Row],[Total]]-Table2[[#This Row],[Personal Stock]]&lt;=0,0,Table2[[#This Row],[Total]]-Table2[[#This Row],[Personal Stock]])</f>
        <v>7</v>
      </c>
    </row>
    <row r="21" spans="1:10" ht="15" thickBot="1" x14ac:dyDescent="0.35">
      <c r="A21" s="42">
        <f>ROW(Table2[[#This Row],[Footprint]])</f>
        <v>21</v>
      </c>
      <c r="B21" s="43" t="s">
        <v>122</v>
      </c>
      <c r="C21" s="44">
        <v>1</v>
      </c>
      <c r="D21" s="45" t="s">
        <v>69</v>
      </c>
      <c r="E21" s="45" t="s">
        <v>142</v>
      </c>
      <c r="F21" s="45"/>
      <c r="G21" s="46">
        <f>Table2[[#This Row],[Quantity]]*$M$3</f>
        <v>7</v>
      </c>
      <c r="H21" s="46"/>
      <c r="I21" s="47">
        <f>IF(Table2[[#This Row],[Total]]-Table2[[#This Row],[Personal Stock]]&lt;=0,0,Table2[[#This Row],[Total]]-Table2[[#This Row],[Personal Stock]])</f>
        <v>7</v>
      </c>
    </row>
    <row r="22" spans="1:10" x14ac:dyDescent="0.3">
      <c r="A22" s="34">
        <f>ROW(Table2[[#This Row],[Footprint]])</f>
        <v>22</v>
      </c>
      <c r="B22" s="35" t="s">
        <v>123</v>
      </c>
      <c r="C22" s="36">
        <v>4</v>
      </c>
      <c r="D22" s="37" t="s">
        <v>70</v>
      </c>
      <c r="E22" s="37"/>
      <c r="F22" s="37"/>
      <c r="G22" s="38">
        <f>Table2[[#This Row],[Quantity]]*$M$3</f>
        <v>28</v>
      </c>
      <c r="H22" s="38">
        <v>100</v>
      </c>
      <c r="I22" s="39">
        <f>IF(Table2[[#This Row],[Total]]-Table2[[#This Row],[Personal Stock]]&lt;=0,0,Table2[[#This Row],[Total]]-Table2[[#This Row],[Personal Stock]])</f>
        <v>0</v>
      </c>
    </row>
    <row r="23" spans="1:10" x14ac:dyDescent="0.3">
      <c r="A23" s="40">
        <f>ROW(Table2[[#This Row],[Footprint]])</f>
        <v>23</v>
      </c>
      <c r="B23" s="31" t="s">
        <v>123</v>
      </c>
      <c r="C23" s="32">
        <v>2</v>
      </c>
      <c r="D23" s="30" t="s">
        <v>62</v>
      </c>
      <c r="G23">
        <f>Table2[[#This Row],[Quantity]]*$M$3</f>
        <v>14</v>
      </c>
      <c r="I23" s="41">
        <f>IF(Table2[[#This Row],[Total]]-Table2[[#This Row],[Personal Stock]]&lt;=0,0,Table2[[#This Row],[Total]]-Table2[[#This Row],[Personal Stock]])</f>
        <v>14</v>
      </c>
    </row>
    <row r="24" spans="1:10" x14ac:dyDescent="0.3">
      <c r="A24" s="40">
        <f>ROW(Table2[[#This Row],[Footprint]])</f>
        <v>24</v>
      </c>
      <c r="B24" s="31" t="s">
        <v>123</v>
      </c>
      <c r="C24" s="32">
        <v>1</v>
      </c>
      <c r="D24" s="30" t="s">
        <v>71</v>
      </c>
      <c r="G24">
        <f>Table2[[#This Row],[Quantity]]*$M$3</f>
        <v>7</v>
      </c>
      <c r="H24">
        <v>20</v>
      </c>
      <c r="I24" s="41">
        <f>IF(Table2[[#This Row],[Total]]-Table2[[#This Row],[Personal Stock]]&lt;=0,0,Table2[[#This Row],[Total]]-Table2[[#This Row],[Personal Stock]])</f>
        <v>0</v>
      </c>
    </row>
    <row r="25" spans="1:10" x14ac:dyDescent="0.3">
      <c r="A25" s="40">
        <f>ROW(Table2[[#This Row],[Footprint]])</f>
        <v>25</v>
      </c>
      <c r="B25" s="31" t="s">
        <v>123</v>
      </c>
      <c r="C25" s="32">
        <v>1</v>
      </c>
      <c r="D25" s="30" t="s">
        <v>164</v>
      </c>
      <c r="G25">
        <f>Table2[[#This Row],[Quantity]]*$M$3</f>
        <v>7</v>
      </c>
      <c r="I25" s="41">
        <f>IF(Table2[[#This Row],[Total]]-Table2[[#This Row],[Personal Stock]]&lt;=0,0,Table2[[#This Row],[Total]]-Table2[[#This Row],[Personal Stock]])</f>
        <v>7</v>
      </c>
    </row>
    <row r="26" spans="1:10" x14ac:dyDescent="0.3">
      <c r="A26" s="40">
        <f>ROW(Table2[[#This Row],[Footprint]])</f>
        <v>26</v>
      </c>
      <c r="B26" s="31" t="s">
        <v>123</v>
      </c>
      <c r="C26" s="32">
        <v>2</v>
      </c>
      <c r="D26" s="30" t="s">
        <v>72</v>
      </c>
      <c r="G26">
        <f>Table2[[#This Row],[Quantity]]*$M$3</f>
        <v>14</v>
      </c>
      <c r="I26" s="41">
        <f>IF(Table2[[#This Row],[Total]]-Table2[[#This Row],[Personal Stock]]&lt;=0,0,Table2[[#This Row],[Total]]-Table2[[#This Row],[Personal Stock]])</f>
        <v>14</v>
      </c>
    </row>
    <row r="27" spans="1:10" x14ac:dyDescent="0.3">
      <c r="A27" s="40">
        <f>ROW(Table2[[#This Row],[Footprint]])</f>
        <v>27</v>
      </c>
      <c r="B27" s="31" t="s">
        <v>123</v>
      </c>
      <c r="C27" s="32">
        <v>4</v>
      </c>
      <c r="D27" s="30" t="s">
        <v>73</v>
      </c>
      <c r="E27" s="30" t="s">
        <v>139</v>
      </c>
      <c r="F27" s="30" t="s">
        <v>135</v>
      </c>
      <c r="G27">
        <f>Table2[[#This Row],[Quantity]]*$M$3</f>
        <v>28</v>
      </c>
      <c r="I27" s="41">
        <f>IF(Table2[[#This Row],[Total]]-Table2[[#This Row],[Personal Stock]]&lt;=0,0,Table2[[#This Row],[Total]]-Table2[[#This Row],[Personal Stock]])</f>
        <v>28</v>
      </c>
    </row>
    <row r="28" spans="1:10" x14ac:dyDescent="0.3">
      <c r="A28" s="40">
        <f>ROW(Table2[[#This Row],[Footprint]])</f>
        <v>28</v>
      </c>
      <c r="B28" s="31" t="s">
        <v>123</v>
      </c>
      <c r="C28" s="32">
        <v>6</v>
      </c>
      <c r="D28" s="30" t="s">
        <v>74</v>
      </c>
      <c r="G28">
        <f>Table2[[#This Row],[Quantity]]*M5</f>
        <v>12</v>
      </c>
      <c r="I28" s="41">
        <f>IF(Table2[[#This Row],[Total]]-Table2[[#This Row],[Personal Stock]]&lt;=0,0,Table2[[#This Row],[Total]]-Table2[[#This Row],[Personal Stock]])</f>
        <v>12</v>
      </c>
    </row>
    <row r="29" spans="1:10" x14ac:dyDescent="0.3">
      <c r="A29" s="40">
        <f>ROW(Table2[[#This Row],[Footprint]])</f>
        <v>29</v>
      </c>
      <c r="B29" s="31" t="s">
        <v>123</v>
      </c>
      <c r="C29" s="32">
        <v>6</v>
      </c>
      <c r="D29" s="30" t="s">
        <v>75</v>
      </c>
      <c r="G29">
        <f>Table2[[#This Row],[Quantity]]*($M$3-M6)</f>
        <v>42</v>
      </c>
      <c r="I29" s="41">
        <f>IF(Table2[[#This Row],[Total]]-Table2[[#This Row],[Personal Stock]]&lt;=0,0,Table2[[#This Row],[Total]]-Table2[[#This Row],[Personal Stock]])</f>
        <v>42</v>
      </c>
    </row>
    <row r="30" spans="1:10" x14ac:dyDescent="0.3">
      <c r="A30" s="40">
        <f>ROW(Table2[[#This Row],[Footprint]])</f>
        <v>30</v>
      </c>
      <c r="B30" s="31" t="s">
        <v>123</v>
      </c>
      <c r="C30" s="32">
        <v>1</v>
      </c>
      <c r="D30" s="30" t="s">
        <v>76</v>
      </c>
      <c r="E30" s="30" t="s">
        <v>150</v>
      </c>
      <c r="G30">
        <f>Table2[[#This Row],[Quantity]]*$M$3</f>
        <v>7</v>
      </c>
      <c r="H30">
        <v>0</v>
      </c>
      <c r="I30" s="41">
        <f>IF(Table2[[#This Row],[Total]]-Table2[[#This Row],[Personal Stock]]&lt;=0,0,Table2[[#This Row],[Total]]-Table2[[#This Row],[Personal Stock]])</f>
        <v>7</v>
      </c>
      <c r="J30" t="s">
        <v>19</v>
      </c>
    </row>
    <row r="31" spans="1:10" x14ac:dyDescent="0.3">
      <c r="A31" s="40">
        <f>ROW(Table2[[#This Row],[Footprint]])</f>
        <v>31</v>
      </c>
      <c r="B31" s="31" t="s">
        <v>123</v>
      </c>
      <c r="C31" s="32">
        <v>2</v>
      </c>
      <c r="D31" s="30">
        <v>56</v>
      </c>
      <c r="G31">
        <f>Table2[[#This Row],[Quantity]]*$M$3</f>
        <v>14</v>
      </c>
      <c r="I31" s="41">
        <f>IF(Table2[[#This Row],[Total]]-Table2[[#This Row],[Personal Stock]]&lt;=0,0,Table2[[#This Row],[Total]]-Table2[[#This Row],[Personal Stock]])</f>
        <v>14</v>
      </c>
    </row>
    <row r="32" spans="1:10" x14ac:dyDescent="0.3">
      <c r="A32" s="40">
        <f>ROW(Table2[[#This Row],[Footprint]])</f>
        <v>32</v>
      </c>
      <c r="B32" s="31" t="s">
        <v>123</v>
      </c>
      <c r="C32" s="32">
        <v>1</v>
      </c>
      <c r="D32" s="30" t="s">
        <v>140</v>
      </c>
      <c r="G32">
        <f>Table2[[#This Row],[Quantity]]*$M$3</f>
        <v>7</v>
      </c>
      <c r="I32" s="41">
        <f>IF(Table2[[#This Row],[Total]]-Table2[[#This Row],[Personal Stock]]&lt;=0,0,Table2[[#This Row],[Total]]-Table2[[#This Row],[Personal Stock]])</f>
        <v>7</v>
      </c>
    </row>
    <row r="33" spans="1:12" x14ac:dyDescent="0.3">
      <c r="A33" s="40">
        <f>ROW(Table2[[#This Row],[Footprint]])</f>
        <v>33</v>
      </c>
      <c r="B33" s="31" t="s">
        <v>123</v>
      </c>
      <c r="C33" s="32">
        <v>4</v>
      </c>
      <c r="D33" s="30" t="s">
        <v>78</v>
      </c>
      <c r="E33" s="30" t="s">
        <v>142</v>
      </c>
      <c r="F33" s="30" t="s">
        <v>141</v>
      </c>
      <c r="G33">
        <f>Table2[[#This Row],[Quantity]]*$M$3</f>
        <v>28</v>
      </c>
      <c r="I33" s="41">
        <f>IF(Table2[[#This Row],[Total]]-Table2[[#This Row],[Personal Stock]]&lt;=0,0,Table2[[#This Row],[Total]]-Table2[[#This Row],[Personal Stock]])</f>
        <v>28</v>
      </c>
      <c r="J33" t="s">
        <v>160</v>
      </c>
      <c r="L33" t="s">
        <v>19</v>
      </c>
    </row>
    <row r="34" spans="1:12" x14ac:dyDescent="0.3">
      <c r="A34" s="40">
        <f>ROW(Table2[[#This Row],[Footprint]])</f>
        <v>34</v>
      </c>
      <c r="B34" s="31" t="s">
        <v>123</v>
      </c>
      <c r="C34" s="32">
        <v>1</v>
      </c>
      <c r="D34" s="30" t="s">
        <v>138</v>
      </c>
      <c r="G34">
        <f>Table2[[#This Row],[Quantity]]*$M$3</f>
        <v>7</v>
      </c>
      <c r="I34" s="41">
        <f>IF(Table2[[#This Row],[Total]]-Table2[[#This Row],[Personal Stock]]&lt;=0,0,Table2[[#This Row],[Total]]-Table2[[#This Row],[Personal Stock]])</f>
        <v>7</v>
      </c>
    </row>
    <row r="35" spans="1:12" x14ac:dyDescent="0.3">
      <c r="A35" s="40">
        <f>ROW(Table2[[#This Row],[Footprint]])</f>
        <v>35</v>
      </c>
      <c r="B35" s="31" t="s">
        <v>123</v>
      </c>
      <c r="C35" s="32">
        <v>1</v>
      </c>
      <c r="D35" s="30">
        <v>1100</v>
      </c>
      <c r="G35">
        <f>Table2[[#This Row],[Quantity]]*$M$3</f>
        <v>7</v>
      </c>
      <c r="I35" s="41">
        <f>IF(Table2[[#This Row],[Total]]-Table2[[#This Row],[Personal Stock]]&lt;=0,0,Table2[[#This Row],[Total]]-Table2[[#This Row],[Personal Stock]])</f>
        <v>7</v>
      </c>
    </row>
    <row r="36" spans="1:12" x14ac:dyDescent="0.3">
      <c r="A36" s="40">
        <f>ROW(Table2[[#This Row],[Footprint]])</f>
        <v>36</v>
      </c>
      <c r="B36" s="31" t="s">
        <v>123</v>
      </c>
      <c r="C36" s="32">
        <v>1</v>
      </c>
      <c r="D36" s="30" t="s">
        <v>64</v>
      </c>
      <c r="G36">
        <f>Table2[[#This Row],[Quantity]]*$M$3</f>
        <v>7</v>
      </c>
      <c r="I36" s="41">
        <f>IF(Table2[[#This Row],[Total]]-Table2[[#This Row],[Personal Stock]]&lt;=0,0,Table2[[#This Row],[Total]]-Table2[[#This Row],[Personal Stock]])</f>
        <v>7</v>
      </c>
    </row>
    <row r="37" spans="1:12" ht="15" thickBot="1" x14ac:dyDescent="0.35">
      <c r="A37" s="42">
        <f>ROW(Table2[[#This Row],[Footprint]])</f>
        <v>37</v>
      </c>
      <c r="B37" s="43" t="s">
        <v>123</v>
      </c>
      <c r="C37" s="44">
        <v>1</v>
      </c>
      <c r="D37" s="45" t="s">
        <v>55</v>
      </c>
      <c r="E37" s="45"/>
      <c r="F37" s="45"/>
      <c r="G37" s="46">
        <f>Table2[[#This Row],[Quantity]]*$M$3</f>
        <v>7</v>
      </c>
      <c r="H37" s="46"/>
      <c r="I37" s="47">
        <f>IF(Table2[[#This Row],[Total]]-Table2[[#This Row],[Personal Stock]]&lt;=0,0,Table2[[#This Row],[Total]]-Table2[[#This Row],[Personal Stock]])</f>
        <v>7</v>
      </c>
    </row>
    <row r="38" spans="1:12" x14ac:dyDescent="0.3">
      <c r="A38" s="32">
        <f>ROW(Table2[[#This Row],[Footprint]])</f>
        <v>38</v>
      </c>
      <c r="B38" s="31" t="s">
        <v>124</v>
      </c>
      <c r="C38" s="32">
        <v>1</v>
      </c>
      <c r="D38" s="30" t="s">
        <v>80</v>
      </c>
      <c r="F38" s="30" t="s">
        <v>163</v>
      </c>
      <c r="G38">
        <f>Table2[[#This Row],[Quantity]]*M3</f>
        <v>7</v>
      </c>
      <c r="H38">
        <v>0</v>
      </c>
      <c r="I38">
        <f>IF(Table2[[#This Row],[Total]]-Table2[[#This Row],[Personal Stock]]&lt;=0,0,Table2[[#This Row],[Total]]-Table2[[#This Row],[Personal Stock]])</f>
        <v>7</v>
      </c>
      <c r="J38" t="s">
        <v>19</v>
      </c>
      <c r="K38" t="s">
        <v>162</v>
      </c>
    </row>
    <row r="39" spans="1:12" x14ac:dyDescent="0.3">
      <c r="A39" s="32">
        <f>ROW(Table2[[#This Row],[Footprint]])</f>
        <v>39</v>
      </c>
      <c r="B39" s="31" t="s">
        <v>124</v>
      </c>
      <c r="C39" s="32">
        <v>1</v>
      </c>
      <c r="D39" s="30" t="s">
        <v>77</v>
      </c>
      <c r="F39" s="30" t="s">
        <v>163</v>
      </c>
      <c r="G39">
        <f>Table2[[#This Row],[Quantity]]*M5</f>
        <v>2</v>
      </c>
      <c r="H39">
        <v>0</v>
      </c>
      <c r="I39">
        <f>IF(Table2[[#This Row],[Total]]-Table2[[#This Row],[Personal Stock]]&lt;=0,0,Table2[[#This Row],[Total]]-Table2[[#This Row],[Personal Stock]])</f>
        <v>2</v>
      </c>
      <c r="J39" t="s">
        <v>19</v>
      </c>
      <c r="K39" t="s">
        <v>162</v>
      </c>
    </row>
    <row r="40" spans="1:12" x14ac:dyDescent="0.3">
      <c r="A40" s="32">
        <f>ROW(Table2[[#This Row],[Footprint]])</f>
        <v>40</v>
      </c>
      <c r="B40" s="31" t="s">
        <v>124</v>
      </c>
      <c r="C40" s="32">
        <v>3</v>
      </c>
      <c r="D40" s="30" t="s">
        <v>59</v>
      </c>
      <c r="E40" s="30" t="s">
        <v>144</v>
      </c>
      <c r="G40">
        <f>Table2[[#This Row],[Quantity]]*$M$3</f>
        <v>21</v>
      </c>
      <c r="H40">
        <v>40</v>
      </c>
      <c r="I40">
        <f>IF(Table2[[#This Row],[Total]]-Table2[[#This Row],[Personal Stock]]&lt;=0,0,Table2[[#This Row],[Total]]-Table2[[#This Row],[Personal Stock]])</f>
        <v>0</v>
      </c>
    </row>
    <row r="41" spans="1:12" x14ac:dyDescent="0.3">
      <c r="A41" s="32">
        <f>ROW(Table2[[#This Row],[Footprint]])</f>
        <v>41</v>
      </c>
      <c r="B41" s="31" t="s">
        <v>124</v>
      </c>
      <c r="C41" s="32">
        <v>1</v>
      </c>
      <c r="D41" s="30" t="s">
        <v>79</v>
      </c>
      <c r="G41">
        <f>Table2[[#This Row],[Quantity]]*$M$3</f>
        <v>7</v>
      </c>
      <c r="H41">
        <v>0</v>
      </c>
      <c r="I41">
        <f>IF(Table2[[#This Row],[Total]]-Table2[[#This Row],[Personal Stock]]&lt;=0,0,Table2[[#This Row],[Total]]-Table2[[#This Row],[Personal Stock]])</f>
        <v>7</v>
      </c>
      <c r="J41" t="s">
        <v>19</v>
      </c>
    </row>
    <row r="42" spans="1:12" x14ac:dyDescent="0.3">
      <c r="A42" s="32">
        <f>ROW(Table2[[#This Row],[Footprint]])</f>
        <v>42</v>
      </c>
      <c r="B42" s="31" t="s">
        <v>124</v>
      </c>
      <c r="C42" s="32">
        <v>2</v>
      </c>
      <c r="D42" s="30" t="s">
        <v>76</v>
      </c>
      <c r="G42">
        <f>Table2[[#This Row],[Quantity]]*$M$3</f>
        <v>14</v>
      </c>
      <c r="H42">
        <v>0</v>
      </c>
      <c r="I42">
        <f>IF(Table2[[#This Row],[Total]]-Table2[[#This Row],[Personal Stock]]&lt;=0,0,Table2[[#This Row],[Total]]-Table2[[#This Row],[Personal Stock]])</f>
        <v>14</v>
      </c>
      <c r="J42" t="s">
        <v>19</v>
      </c>
    </row>
    <row r="43" spans="1:12" x14ac:dyDescent="0.3">
      <c r="A43" s="32">
        <f>ROW(Table2[[#This Row],[Footprint]])</f>
        <v>43</v>
      </c>
      <c r="B43" s="31" t="s">
        <v>124</v>
      </c>
      <c r="C43" s="32">
        <v>1</v>
      </c>
      <c r="D43" s="30" t="s">
        <v>80</v>
      </c>
      <c r="E43" s="30" t="s">
        <v>139</v>
      </c>
      <c r="F43" s="30" t="s">
        <v>143</v>
      </c>
      <c r="G43">
        <f>Table2[[#This Row],[Quantity]]*$M$3</f>
        <v>7</v>
      </c>
      <c r="H43">
        <v>30</v>
      </c>
      <c r="I43">
        <f>IF(Table2[[#This Row],[Total]]-Table2[[#This Row],[Personal Stock]]&lt;=0,0,Table2[[#This Row],[Total]]-Table2[[#This Row],[Personal Stock]])</f>
        <v>0</v>
      </c>
      <c r="J43" t="s">
        <v>19</v>
      </c>
    </row>
    <row r="44" spans="1:12" x14ac:dyDescent="0.3">
      <c r="A44" s="32">
        <f>ROW(Table2[[#This Row],[Footprint]])</f>
        <v>44</v>
      </c>
      <c r="B44" s="31" t="s">
        <v>124</v>
      </c>
      <c r="C44" s="32">
        <v>10</v>
      </c>
      <c r="D44" s="30" t="s">
        <v>81</v>
      </c>
      <c r="G44">
        <f>Table2[[#This Row],[Quantity]]*$M$3</f>
        <v>70</v>
      </c>
      <c r="H44">
        <v>0</v>
      </c>
      <c r="I44">
        <f>IF(Table2[[#This Row],[Total]]-Table2[[#This Row],[Personal Stock]]&lt;=0,0,Table2[[#This Row],[Total]]-Table2[[#This Row],[Personal Stock]])</f>
        <v>70</v>
      </c>
      <c r="J44" t="s">
        <v>19</v>
      </c>
    </row>
    <row r="45" spans="1:12" x14ac:dyDescent="0.3">
      <c r="A45" s="32">
        <f>ROW(Table2[[#This Row],[Footprint]])</f>
        <v>45</v>
      </c>
      <c r="B45" s="31" t="s">
        <v>124</v>
      </c>
      <c r="C45" s="32">
        <v>3</v>
      </c>
      <c r="D45" s="30" t="s">
        <v>76</v>
      </c>
      <c r="G45">
        <f>Table2[[#This Row],[Quantity]]*$M$3</f>
        <v>21</v>
      </c>
      <c r="H45">
        <v>0</v>
      </c>
      <c r="I45">
        <f>IF(Table2[[#This Row],[Total]]-Table2[[#This Row],[Personal Stock]]&lt;=0,0,Table2[[#This Row],[Total]]-Table2[[#This Row],[Personal Stock]])</f>
        <v>21</v>
      </c>
      <c r="J45" t="s">
        <v>19</v>
      </c>
    </row>
    <row r="46" spans="1:12" x14ac:dyDescent="0.3">
      <c r="A46" s="32">
        <f>ROW(Table2[[#This Row],[Footprint]])</f>
        <v>46</v>
      </c>
      <c r="B46" s="31" t="s">
        <v>131</v>
      </c>
      <c r="C46" s="32">
        <v>1</v>
      </c>
      <c r="D46" s="30" t="s">
        <v>83</v>
      </c>
      <c r="G46">
        <f>Table2[[#This Row],[Quantity]]*$M$3</f>
        <v>7</v>
      </c>
      <c r="H46">
        <v>0</v>
      </c>
      <c r="I46">
        <f>IF(Table2[[#This Row],[Total]]-Table2[[#This Row],[Personal Stock]]&lt;=0,0,Table2[[#This Row],[Total]]-Table2[[#This Row],[Personal Stock]])</f>
        <v>7</v>
      </c>
      <c r="J46" t="s">
        <v>132</v>
      </c>
    </row>
    <row r="47" spans="1:12" x14ac:dyDescent="0.3">
      <c r="A47" s="32">
        <f>ROW(Table2[[#This Row],[Footprint]])</f>
        <v>47</v>
      </c>
      <c r="B47" s="31" t="s">
        <v>84</v>
      </c>
      <c r="C47" s="32">
        <v>1</v>
      </c>
      <c r="D47" s="30" t="s">
        <v>85</v>
      </c>
      <c r="G47">
        <f>Table2[[#This Row],[Quantity]]*M5</f>
        <v>2</v>
      </c>
      <c r="H47">
        <v>0</v>
      </c>
      <c r="I47">
        <f>IF(Table2[[#This Row],[Total]]-Table2[[#This Row],[Personal Stock]]&lt;=0,0,Table2[[#This Row],[Total]]-Table2[[#This Row],[Personal Stock]])</f>
        <v>2</v>
      </c>
      <c r="J47" t="s">
        <v>19</v>
      </c>
    </row>
    <row r="48" spans="1:12" x14ac:dyDescent="0.3">
      <c r="A48" s="32">
        <f>ROW(Table2[[#This Row],[Footprint]])</f>
        <v>48</v>
      </c>
      <c r="B48" s="31" t="s">
        <v>84</v>
      </c>
      <c r="C48" s="32">
        <v>1</v>
      </c>
      <c r="D48" s="30" t="s">
        <v>86</v>
      </c>
      <c r="G48">
        <f>Table2[[#This Row],[Quantity]]*($M$3-M5)</f>
        <v>5</v>
      </c>
      <c r="H48">
        <v>10</v>
      </c>
      <c r="I48">
        <f>IF(Table2[[#This Row],[Total]]-Table2[[#This Row],[Personal Stock]]&lt;=0,0,Table2[[#This Row],[Total]]-Table2[[#This Row],[Personal Stock]])</f>
        <v>0</v>
      </c>
    </row>
    <row r="49" spans="1:10" x14ac:dyDescent="0.3">
      <c r="A49" s="32">
        <f>ROW(Table2[[#This Row],[Footprint]])</f>
        <v>49</v>
      </c>
      <c r="B49" s="31" t="s">
        <v>87</v>
      </c>
      <c r="C49" s="32">
        <v>1</v>
      </c>
      <c r="D49" s="30" t="s">
        <v>130</v>
      </c>
      <c r="G49">
        <f>Table2[[#This Row],[Quantity]]*$M$3</f>
        <v>7</v>
      </c>
      <c r="H49">
        <v>50</v>
      </c>
      <c r="I49">
        <f>IF(Table2[[#This Row],[Total]]-Table2[[#This Row],[Personal Stock]]&lt;=0,0,Table2[[#This Row],[Total]]-Table2[[#This Row],[Personal Stock]])</f>
        <v>0</v>
      </c>
    </row>
    <row r="50" spans="1:10" x14ac:dyDescent="0.3">
      <c r="A50" s="32">
        <f>ROW(Table2[[#This Row],[Footprint]])</f>
        <v>50</v>
      </c>
      <c r="B50" s="31" t="s">
        <v>88</v>
      </c>
      <c r="C50" s="32">
        <v>1</v>
      </c>
      <c r="D50" s="30" t="s">
        <v>89</v>
      </c>
      <c r="G50">
        <f>Table2[[#This Row],[Quantity]]*$M$3</f>
        <v>7</v>
      </c>
      <c r="H50">
        <v>3</v>
      </c>
      <c r="I50">
        <f>IF(Table2[[#This Row],[Total]]-Table2[[#This Row],[Personal Stock]]&lt;=0,0,Table2[[#This Row],[Total]]-Table2[[#This Row],[Personal Stock]])</f>
        <v>4</v>
      </c>
    </row>
    <row r="51" spans="1:10" x14ac:dyDescent="0.3">
      <c r="A51" s="32">
        <f>ROW(Table2[[#This Row],[Footprint]])</f>
        <v>51</v>
      </c>
      <c r="B51" s="31" t="s">
        <v>90</v>
      </c>
      <c r="C51" s="32">
        <v>1</v>
      </c>
      <c r="D51" s="30" t="s">
        <v>91</v>
      </c>
      <c r="G51">
        <f>Table2[[#This Row],[Quantity]]*$M$3</f>
        <v>7</v>
      </c>
      <c r="H51">
        <v>3</v>
      </c>
      <c r="I51">
        <f>IF(Table2[[#This Row],[Total]]-Table2[[#This Row],[Personal Stock]]&lt;=0,0,Table2[[#This Row],[Total]]-Table2[[#This Row],[Personal Stock]])</f>
        <v>4</v>
      </c>
    </row>
    <row r="52" spans="1:10" x14ac:dyDescent="0.3">
      <c r="A52" s="32">
        <f>ROW(Table2[[#This Row],[Footprint]])</f>
        <v>52</v>
      </c>
      <c r="B52" s="31" t="s">
        <v>145</v>
      </c>
      <c r="C52" s="32">
        <v>1</v>
      </c>
      <c r="D52" s="50" t="s">
        <v>168</v>
      </c>
      <c r="G52">
        <f>Table2[[#This Row],[Quantity]]*$M$3</f>
        <v>7</v>
      </c>
      <c r="H52">
        <v>0</v>
      </c>
      <c r="I52">
        <f>IF(Table2[[#This Row],[Total]]-Table2[[#This Row],[Personal Stock]]&lt;=0,0,Table2[[#This Row],[Total]]-Table2[[#This Row],[Personal Stock]])</f>
        <v>7</v>
      </c>
    </row>
    <row r="53" spans="1:10" x14ac:dyDescent="0.3">
      <c r="A53" s="32">
        <f>ROW(Table2[[#This Row],[Footprint]])</f>
        <v>53</v>
      </c>
      <c r="B53" s="31" t="s">
        <v>146</v>
      </c>
      <c r="C53" s="32">
        <v>2</v>
      </c>
      <c r="D53" s="30" t="s">
        <v>147</v>
      </c>
      <c r="G53">
        <v>12</v>
      </c>
      <c r="H53">
        <v>14</v>
      </c>
      <c r="I53">
        <f>IF(Table2[[#This Row],[Total]]-Table2[[#This Row],[Personal Stock]]&lt;=0,0,Table2[[#This Row],[Total]]-Table2[[#This Row],[Personal Stock]])</f>
        <v>0</v>
      </c>
    </row>
    <row r="54" spans="1:10" x14ac:dyDescent="0.3">
      <c r="A54" s="32">
        <f>ROW(Table2[[#This Row],[Footprint]])</f>
        <v>54</v>
      </c>
      <c r="B54" s="31" t="s">
        <v>92</v>
      </c>
      <c r="C54" s="32">
        <v>1</v>
      </c>
      <c r="D54" s="30" t="s">
        <v>93</v>
      </c>
      <c r="G54">
        <f>Table2[[#This Row],[Quantity]]*$M$3</f>
        <v>7</v>
      </c>
      <c r="H54">
        <v>50</v>
      </c>
      <c r="I54">
        <f>IF(Table2[[#This Row],[Total]]-Table2[[#This Row],[Personal Stock]]&lt;=0,0,Table2[[#This Row],[Total]]-Table2[[#This Row],[Personal Stock]])</f>
        <v>0</v>
      </c>
    </row>
    <row r="55" spans="1:10" x14ac:dyDescent="0.3">
      <c r="A55" s="32">
        <f>ROW(Table2[[#This Row],[Footprint]])</f>
        <v>55</v>
      </c>
      <c r="B55" s="31" t="s">
        <v>92</v>
      </c>
      <c r="C55" s="32">
        <v>1</v>
      </c>
      <c r="D55" s="30" t="s">
        <v>94</v>
      </c>
      <c r="G55">
        <f>Table2[[#This Row],[Quantity]]*$M$3</f>
        <v>7</v>
      </c>
      <c r="H55">
        <v>50</v>
      </c>
      <c r="I55">
        <f>IF(Table2[[#This Row],[Total]]-Table2[[#This Row],[Personal Stock]]&lt;=0,0,Table2[[#This Row],[Total]]-Table2[[#This Row],[Personal Stock]])</f>
        <v>0</v>
      </c>
    </row>
    <row r="56" spans="1:10" x14ac:dyDescent="0.3">
      <c r="A56" s="32">
        <f>ROW(Table2[[#This Row],[Footprint]])</f>
        <v>56</v>
      </c>
      <c r="B56" s="31" t="s">
        <v>95</v>
      </c>
      <c r="C56" s="32">
        <v>1</v>
      </c>
      <c r="D56" s="30" t="s">
        <v>129</v>
      </c>
      <c r="G56">
        <v>2</v>
      </c>
      <c r="H56">
        <v>4</v>
      </c>
      <c r="I56">
        <f>IF(Table2[[#This Row],[Total]]-Table2[[#This Row],[Personal Stock]]&lt;=0,0,Table2[[#This Row],[Total]]-Table2[[#This Row],[Personal Stock]])</f>
        <v>0</v>
      </c>
    </row>
    <row r="57" spans="1:10" x14ac:dyDescent="0.3">
      <c r="A57" s="32">
        <f>ROW(Table2[[#This Row],[Footprint]])</f>
        <v>57</v>
      </c>
      <c r="B57" s="31" t="s">
        <v>95</v>
      </c>
      <c r="C57" s="32">
        <v>1</v>
      </c>
      <c r="D57" s="30" t="s">
        <v>96</v>
      </c>
      <c r="G57">
        <f>Table2[[#This Row],[Quantity]]*M6</f>
        <v>0</v>
      </c>
      <c r="H57">
        <v>4</v>
      </c>
      <c r="I57">
        <f>IF(Table2[[#This Row],[Total]]-Table2[[#This Row],[Personal Stock]]&lt;=0,0,Table2[[#This Row],[Total]]-Table2[[#This Row],[Personal Stock]])</f>
        <v>0</v>
      </c>
    </row>
    <row r="58" spans="1:10" x14ac:dyDescent="0.3">
      <c r="A58" s="32">
        <f>ROW(Table2[[#This Row],[Footprint]])</f>
        <v>58</v>
      </c>
      <c r="B58" s="31" t="s">
        <v>97</v>
      </c>
      <c r="C58" s="32">
        <v>6</v>
      </c>
      <c r="D58" s="30" t="s">
        <v>98</v>
      </c>
      <c r="G58">
        <f>Table2[[#This Row],[Quantity]]*$M$3</f>
        <v>42</v>
      </c>
      <c r="H58">
        <v>21</v>
      </c>
      <c r="I58">
        <f>IF(Table2[[#This Row],[Total]]-Table2[[#This Row],[Personal Stock]]&lt;=0,0,Table2[[#This Row],[Total]]-Table2[[#This Row],[Personal Stock]])</f>
        <v>21</v>
      </c>
    </row>
    <row r="59" spans="1:10" x14ac:dyDescent="0.3">
      <c r="A59" s="32">
        <f>ROW(Table2[[#This Row],[Footprint]])</f>
        <v>59</v>
      </c>
      <c r="B59" s="31" t="s">
        <v>118</v>
      </c>
      <c r="C59" s="32">
        <v>1</v>
      </c>
      <c r="D59" s="30" t="s">
        <v>119</v>
      </c>
      <c r="G59">
        <f>Table2[[#This Row],[Quantity]]*$M$3</f>
        <v>7</v>
      </c>
      <c r="H59">
        <v>0</v>
      </c>
      <c r="I59">
        <f>IF(Table2[[#This Row],[Total]]-Table2[[#This Row],[Personal Stock]]&lt;=0,0,Table2[[#This Row],[Total]]-Table2[[#This Row],[Personal Stock]])</f>
        <v>7</v>
      </c>
    </row>
    <row r="60" spans="1:10" x14ac:dyDescent="0.3">
      <c r="A60" s="32">
        <f>ROW(Table2[[#This Row],[Footprint]])</f>
        <v>60</v>
      </c>
      <c r="B60" s="31" t="s">
        <v>99</v>
      </c>
      <c r="C60" s="32">
        <v>1</v>
      </c>
      <c r="D60" s="30" t="s">
        <v>100</v>
      </c>
      <c r="F60" s="30" t="s">
        <v>167</v>
      </c>
      <c r="G60">
        <f>Table2[[#This Row],[Quantity]]*M5</f>
        <v>2</v>
      </c>
      <c r="H60">
        <v>1</v>
      </c>
      <c r="I60">
        <f>IF(Table2[[#This Row],[Total]]-Table2[[#This Row],[Personal Stock]]&lt;=0,0,Table2[[#This Row],[Total]]-Table2[[#This Row],[Personal Stock]])</f>
        <v>1</v>
      </c>
      <c r="J60" t="s">
        <v>19</v>
      </c>
    </row>
    <row r="61" spans="1:10" x14ac:dyDescent="0.3">
      <c r="A61" s="32">
        <f>ROW(Table2[[#This Row],[Footprint]])</f>
        <v>61</v>
      </c>
      <c r="B61" s="31" t="s">
        <v>99</v>
      </c>
      <c r="C61" s="32">
        <v>1</v>
      </c>
      <c r="D61" s="30" t="s">
        <v>166</v>
      </c>
      <c r="F61" s="30" t="s">
        <v>167</v>
      </c>
      <c r="G61">
        <v>1</v>
      </c>
      <c r="H61">
        <v>0</v>
      </c>
      <c r="I61">
        <f>IF(Table2[[#This Row],[Total]]-Table2[[#This Row],[Personal Stock]]&lt;=0,0,Table2[[#This Row],[Total]]-Table2[[#This Row],[Personal Stock]])</f>
        <v>1</v>
      </c>
      <c r="J61" t="s">
        <v>19</v>
      </c>
    </row>
    <row r="62" spans="1:10" x14ac:dyDescent="0.3">
      <c r="A62" s="32">
        <f>ROW(Table2[[#This Row],[Footprint]])</f>
        <v>62</v>
      </c>
      <c r="B62" s="31" t="s">
        <v>99</v>
      </c>
      <c r="C62" s="32">
        <v>1</v>
      </c>
      <c r="D62" s="30" t="s">
        <v>101</v>
      </c>
      <c r="G62">
        <f>Table2[[#This Row],[Quantity]]*($M$3-M5)</f>
        <v>5</v>
      </c>
      <c r="H62">
        <v>5</v>
      </c>
      <c r="I62">
        <f>IF(Table2[[#This Row],[Total]]-Table2[[#This Row],[Personal Stock]]&lt;=0,0,Table2[[#This Row],[Total]]-Table2[[#This Row],[Personal Stock]])</f>
        <v>0</v>
      </c>
    </row>
    <row r="63" spans="1:10" x14ac:dyDescent="0.3">
      <c r="A63" s="32">
        <f>ROW(Table2[[#This Row],[Footprint]])</f>
        <v>63</v>
      </c>
      <c r="B63" s="31" t="s">
        <v>102</v>
      </c>
      <c r="C63" s="32">
        <v>5</v>
      </c>
      <c r="D63" s="30" t="s">
        <v>103</v>
      </c>
      <c r="G63">
        <f>Table2[[#This Row],[Quantity]]*$M$3</f>
        <v>35</v>
      </c>
      <c r="H63">
        <v>100</v>
      </c>
      <c r="I63">
        <f>IF(Table2[[#This Row],[Total]]-Table2[[#This Row],[Personal Stock]]&lt;=0,0,Table2[[#This Row],[Total]]-Table2[[#This Row],[Personal Stock]])</f>
        <v>0</v>
      </c>
    </row>
    <row r="64" spans="1:10" x14ac:dyDescent="0.3">
      <c r="A64" s="32">
        <f>ROW(Table2[[#This Row],[Footprint]])</f>
        <v>64</v>
      </c>
      <c r="B64" s="31" t="s">
        <v>104</v>
      </c>
      <c r="C64" s="32">
        <v>1</v>
      </c>
      <c r="D64" s="30" t="s">
        <v>105</v>
      </c>
      <c r="G64">
        <f>Table2[[#This Row],[Quantity]]*$M$3</f>
        <v>7</v>
      </c>
      <c r="H64">
        <v>3</v>
      </c>
      <c r="I64">
        <f>IF(Table2[[#This Row],[Total]]-Table2[[#This Row],[Personal Stock]]&lt;=0,0,Table2[[#This Row],[Total]]-Table2[[#This Row],[Personal Stock]])</f>
        <v>4</v>
      </c>
    </row>
    <row r="65" spans="1:11" x14ac:dyDescent="0.3">
      <c r="A65" s="32">
        <f>ROW(Table2[[#This Row],[Footprint]])</f>
        <v>65</v>
      </c>
      <c r="B65" s="31" t="s">
        <v>106</v>
      </c>
      <c r="C65" s="32">
        <v>1</v>
      </c>
      <c r="D65" s="30" t="s">
        <v>107</v>
      </c>
      <c r="G65">
        <f>Table2[[#This Row],[Quantity]]*($M$3-M7)</f>
        <v>7</v>
      </c>
      <c r="H65">
        <v>3</v>
      </c>
      <c r="I65">
        <f>IF(Table2[[#This Row],[Total]]-Table2[[#This Row],[Personal Stock]]&lt;=0,0,Table2[[#This Row],[Total]]-Table2[[#This Row],[Personal Stock]])</f>
        <v>4</v>
      </c>
    </row>
    <row r="66" spans="1:11" x14ac:dyDescent="0.3">
      <c r="A66" s="32">
        <f>ROW(Table2[[#This Row],[Footprint]])</f>
        <v>66</v>
      </c>
      <c r="B66" s="31" t="s">
        <v>108</v>
      </c>
      <c r="C66" s="32">
        <v>1</v>
      </c>
      <c r="D66" s="30" t="s">
        <v>109</v>
      </c>
      <c r="G66">
        <f>Table2[[#This Row],[Quantity]]*$M$3</f>
        <v>7</v>
      </c>
      <c r="H66">
        <v>10</v>
      </c>
      <c r="I66">
        <f>IF(Table2[[#This Row],[Total]]-Table2[[#This Row],[Personal Stock]]&lt;=0,0,Table2[[#This Row],[Total]]-Table2[[#This Row],[Personal Stock]])</f>
        <v>0</v>
      </c>
    </row>
    <row r="67" spans="1:11" x14ac:dyDescent="0.3">
      <c r="A67" s="32">
        <f>ROW(Table2[[#This Row],[Footprint]])</f>
        <v>67</v>
      </c>
      <c r="B67" s="31" t="s">
        <v>110</v>
      </c>
      <c r="C67" s="32">
        <v>1</v>
      </c>
      <c r="D67" s="30" t="s">
        <v>111</v>
      </c>
      <c r="G67">
        <f>Table2[[#This Row],[Quantity]]*$M$3</f>
        <v>7</v>
      </c>
      <c r="H67">
        <v>20</v>
      </c>
      <c r="I67">
        <f>IF(Table2[[#This Row],[Total]]-Table2[[#This Row],[Personal Stock]]&lt;=0,0,Table2[[#This Row],[Total]]-Table2[[#This Row],[Personal Stock]])</f>
        <v>0</v>
      </c>
    </row>
    <row r="68" spans="1:11" x14ac:dyDescent="0.3">
      <c r="A68" s="32">
        <f>ROW(Table2[[#This Row],[Footprint]])</f>
        <v>68</v>
      </c>
      <c r="B68" s="31" t="s">
        <v>112</v>
      </c>
      <c r="C68" s="32">
        <v>2</v>
      </c>
      <c r="D68" s="30" t="s">
        <v>113</v>
      </c>
      <c r="G68">
        <f>Table2[[#This Row],[Quantity]]*$M$3</f>
        <v>14</v>
      </c>
      <c r="H68">
        <v>10</v>
      </c>
      <c r="I68">
        <f>IF(Table2[[#This Row],[Total]]-Table2[[#This Row],[Personal Stock]]&lt;=0,0,Table2[[#This Row],[Total]]-Table2[[#This Row],[Personal Stock]])</f>
        <v>4</v>
      </c>
      <c r="J68" t="s">
        <v>19</v>
      </c>
      <c r="K68" t="s">
        <v>161</v>
      </c>
    </row>
    <row r="69" spans="1:11" x14ac:dyDescent="0.3">
      <c r="A69" s="32">
        <f>ROW(Table2[[#This Row],[Footprint]])</f>
        <v>69</v>
      </c>
      <c r="B69" s="31" t="s">
        <v>114</v>
      </c>
      <c r="C69" s="32">
        <v>1</v>
      </c>
      <c r="D69" s="30" t="s">
        <v>115</v>
      </c>
      <c r="G69">
        <f>Table2[[#This Row],[Quantity]]*$M$3</f>
        <v>7</v>
      </c>
      <c r="H69">
        <v>10</v>
      </c>
      <c r="I69">
        <f>IF(Table2[[#This Row],[Total]]-Table2[[#This Row],[Personal Stock]]&lt;=0,0,Table2[[#This Row],[Total]]-Table2[[#This Row],[Personal Stock]])</f>
        <v>0</v>
      </c>
    </row>
    <row r="70" spans="1:11" x14ac:dyDescent="0.3">
      <c r="A70" s="32">
        <f>ROW(Table2[[#This Row],[Footprint]])</f>
        <v>70</v>
      </c>
      <c r="B70" s="31" t="s">
        <v>116</v>
      </c>
      <c r="C70" s="32">
        <v>1</v>
      </c>
      <c r="D70" s="30" t="s">
        <v>117</v>
      </c>
      <c r="G70">
        <v>2</v>
      </c>
      <c r="H70">
        <v>3</v>
      </c>
      <c r="I70">
        <f>IF(Table2[[#This Row],[Total]]-Table2[[#This Row],[Personal Stock]]&lt;=0,0,Table2[[#This Row],[Total]]-Table2[[#This Row],[Personal Stock]])</f>
        <v>0</v>
      </c>
    </row>
    <row r="71" spans="1:11" x14ac:dyDescent="0.3">
      <c r="A71" s="32">
        <f>ROW(Table2[[#This Row],[Footprint]])</f>
        <v>71</v>
      </c>
      <c r="B71" s="31" t="s">
        <v>120</v>
      </c>
      <c r="C71" s="32">
        <v>2</v>
      </c>
      <c r="D71" s="30" t="s">
        <v>127</v>
      </c>
      <c r="G71">
        <f>Table2[[#This Row],[Quantity]]*$M$3</f>
        <v>14</v>
      </c>
      <c r="H71">
        <v>8</v>
      </c>
      <c r="I71">
        <f>IF(Table2[[#This Row],[Total]]-Table2[[#This Row],[Personal Stock]]&lt;=0,0,Table2[[#This Row],[Total]]-Table2[[#This Row],[Personal Stock]])</f>
        <v>6</v>
      </c>
    </row>
    <row r="72" spans="1:11" x14ac:dyDescent="0.3">
      <c r="A72" s="32">
        <f>ROW(Table2[[#This Row],[Footprint]])</f>
        <v>72</v>
      </c>
      <c r="B72" s="31" t="s">
        <v>120</v>
      </c>
      <c r="C72" s="32">
        <v>2</v>
      </c>
      <c r="D72" s="30" t="s">
        <v>128</v>
      </c>
      <c r="G72">
        <f>Table2[[#This Row],[Quantity]]*$M$3</f>
        <v>14</v>
      </c>
      <c r="H72">
        <v>18</v>
      </c>
      <c r="I72">
        <f>IF(Table2[[#This Row],[Total]]-Table2[[#This Row],[Personal Stock]]&lt;=0,0,Table2[[#This Row],[Total]]-Table2[[#This Row],[Personal Stock]])</f>
        <v>0</v>
      </c>
    </row>
    <row r="73" spans="1:11" x14ac:dyDescent="0.3">
      <c r="A73" s="32">
        <f>ROW(Table2[[#This Row],[Footprint]])</f>
        <v>73</v>
      </c>
      <c r="B73" s="31" t="s">
        <v>148</v>
      </c>
      <c r="C73" s="32">
        <v>2</v>
      </c>
      <c r="D73" s="30" t="s">
        <v>128</v>
      </c>
      <c r="G73">
        <v>2</v>
      </c>
      <c r="H73">
        <v>2</v>
      </c>
      <c r="I73">
        <f>IF(Table2[[#This Row],[Total]]-Table2[[#This Row],[Personal Stock]]&lt;=0,0,Table2[[#This Row],[Total]]-Table2[[#This Row],[Personal Stock]])</f>
        <v>0</v>
      </c>
    </row>
    <row r="74" spans="1:11" x14ac:dyDescent="0.3">
      <c r="A74" s="32">
        <f>ROW(Table2[[#This Row],[Footprint]])</f>
        <v>74</v>
      </c>
      <c r="B74" s="31" t="s">
        <v>148</v>
      </c>
      <c r="C74" s="32">
        <v>2</v>
      </c>
      <c r="D74" s="30" t="s">
        <v>127</v>
      </c>
      <c r="G74">
        <v>2</v>
      </c>
      <c r="H74">
        <v>0</v>
      </c>
      <c r="I74">
        <f>IF(Table2[[#This Row],[Total]]-Table2[[#This Row],[Personal Stock]]&lt;=0,0,Table2[[#This Row],[Total]]-Table2[[#This Row],[Personal Stock]])</f>
        <v>2</v>
      </c>
    </row>
    <row r="75" spans="1:11" x14ac:dyDescent="0.3">
      <c r="A75" s="32">
        <f>ROW(Table2[[#This Row],[Footprint]])</f>
        <v>75</v>
      </c>
      <c r="B75" s="31" t="s">
        <v>151</v>
      </c>
      <c r="C75" s="32">
        <v>2</v>
      </c>
      <c r="D75" s="30" t="s">
        <v>152</v>
      </c>
      <c r="F75" s="30" t="s">
        <v>144</v>
      </c>
      <c r="G75">
        <f>Table2[[#This Row],[Quantity]]*M5</f>
        <v>4</v>
      </c>
      <c r="H75">
        <v>4</v>
      </c>
      <c r="I75">
        <f>IF(Table2[[#This Row],[Total]]-Table2[[#This Row],[Personal Stock]]&lt;=0,0,Table2[[#This Row],[Total]]-Table2[[#This Row],[Personal Stock]])</f>
        <v>0</v>
      </c>
    </row>
    <row r="76" spans="1:11" x14ac:dyDescent="0.3">
      <c r="A76" s="32">
        <f>ROW(Table2[[#This Row],[Footprint]])</f>
        <v>76</v>
      </c>
      <c r="G76">
        <f>Table2[[#This Row],[Quantity]]*$M$3</f>
        <v>0</v>
      </c>
      <c r="H76">
        <v>0</v>
      </c>
      <c r="I76">
        <f>IF(Table2[[#This Row],[Total]]-Table2[[#This Row],[Personal Stock]]&lt;=0,0,Table2[[#This Row],[Total]]-Table2[[#This Row],[Personal Stock]])</f>
        <v>0</v>
      </c>
    </row>
    <row r="77" spans="1:11" x14ac:dyDescent="0.3">
      <c r="A77" s="32">
        <f>ROW(Table2[[#This Row],[Footprint]])</f>
        <v>77</v>
      </c>
      <c r="G77">
        <f>Table2[[#This Row],[Quantity]]*$M$3</f>
        <v>0</v>
      </c>
      <c r="H77">
        <v>0</v>
      </c>
      <c r="I77">
        <f>IF(Table2[[#This Row],[Total]]-Table2[[#This Row],[Personal Stock]]&lt;=0,0,Table2[[#This Row],[Total]]-Table2[[#This Row],[Personal Stock]])</f>
        <v>0</v>
      </c>
    </row>
    <row r="78" spans="1:11" x14ac:dyDescent="0.3">
      <c r="A78" s="32">
        <f>ROW(Table2[[#This Row],[Footprint]])</f>
        <v>78</v>
      </c>
      <c r="G78">
        <f>Table2[[#This Row],[Quantity]]*$M$3</f>
        <v>0</v>
      </c>
      <c r="H78">
        <v>0</v>
      </c>
      <c r="I78">
        <f>IF(Table2[[#This Row],[Total]]-Table2[[#This Row],[Personal Stock]]&lt;=0,0,Table2[[#This Row],[Total]]-Table2[[#This Row],[Personal Stock]])</f>
        <v>0</v>
      </c>
    </row>
    <row r="79" spans="1:11" x14ac:dyDescent="0.3">
      <c r="A79" s="32">
        <f>ROW(Table2[[#This Row],[Footprint]])</f>
        <v>79</v>
      </c>
      <c r="G79">
        <f>Table2[[#This Row],[Quantity]]*$M$3</f>
        <v>0</v>
      </c>
      <c r="H79">
        <v>0</v>
      </c>
      <c r="I79">
        <f>IF(Table2[[#This Row],[Total]]-Table2[[#This Row],[Personal Stock]]&lt;=0,0,Table2[[#This Row],[Total]]-Table2[[#This Row],[Personal Stock]])</f>
        <v>0</v>
      </c>
    </row>
    <row r="80" spans="1:11" x14ac:dyDescent="0.3">
      <c r="A80" s="32">
        <f>ROW(Table2[[#This Row],[Footprint]])</f>
        <v>80</v>
      </c>
      <c r="G80">
        <f>Table2[[#This Row],[Quantity]]*$M$3</f>
        <v>0</v>
      </c>
      <c r="H80">
        <v>0</v>
      </c>
      <c r="I80">
        <f>IF(Table2[[#This Row],[Total]]-Table2[[#This Row],[Personal Stock]]&lt;=0,0,Table2[[#This Row],[Total]]-Table2[[#This Row],[Personal Stock]])</f>
        <v>0</v>
      </c>
    </row>
    <row r="81" spans="1:9" x14ac:dyDescent="0.3">
      <c r="A81" s="32">
        <f>ROW(Table2[[#This Row],[Footprint]])</f>
        <v>81</v>
      </c>
      <c r="G81">
        <f>Table2[[#This Row],[Quantity]]*$M$3</f>
        <v>0</v>
      </c>
      <c r="H81">
        <v>0</v>
      </c>
      <c r="I81">
        <f>IF(Table2[[#This Row],[Total]]-Table2[[#This Row],[Personal Stock]]&lt;=0,0,Table2[[#This Row],[Total]]-Table2[[#This Row],[Personal Stock]])</f>
        <v>0</v>
      </c>
    </row>
    <row r="82" spans="1:9" x14ac:dyDescent="0.3">
      <c r="A82" s="32">
        <f>ROW(Table2[[#This Row],[Footprint]])</f>
        <v>82</v>
      </c>
      <c r="G82">
        <f>Table2[[#This Row],[Quantity]]*$M$3</f>
        <v>0</v>
      </c>
      <c r="H82">
        <v>0</v>
      </c>
      <c r="I82">
        <f>IF(Table2[[#This Row],[Total]]-Table2[[#This Row],[Personal Stock]]&lt;=0,0,Table2[[#This Row],[Total]]-Table2[[#This Row],[Personal Stock]])</f>
        <v>0</v>
      </c>
    </row>
    <row r="83" spans="1:9" x14ac:dyDescent="0.3">
      <c r="A83" s="32">
        <f>ROW(Table2[[#This Row],[Footprint]])</f>
        <v>83</v>
      </c>
      <c r="G83">
        <f>Table2[[#This Row],[Quantity]]*$M$3</f>
        <v>0</v>
      </c>
      <c r="H83">
        <v>0</v>
      </c>
      <c r="I83">
        <f>IF(Table2[[#This Row],[Total]]-Table2[[#This Row],[Personal Stock]]&lt;=0,0,Table2[[#This Row],[Total]]-Table2[[#This Row],[Personal Stock]])</f>
        <v>0</v>
      </c>
    </row>
    <row r="84" spans="1:9" x14ac:dyDescent="0.3">
      <c r="A84" s="32">
        <f>ROW(Table2[[#This Row],[Footprint]])</f>
        <v>84</v>
      </c>
      <c r="G84">
        <f>Table2[[#This Row],[Quantity]]*$M$3</f>
        <v>0</v>
      </c>
      <c r="H84">
        <v>0</v>
      </c>
      <c r="I84">
        <f>IF(Table2[[#This Row],[Total]]-Table2[[#This Row],[Personal Stock]]&lt;=0,0,Table2[[#This Row],[Total]]-Table2[[#This Row],[Personal Stock]])</f>
        <v>0</v>
      </c>
    </row>
    <row r="85" spans="1:9" x14ac:dyDescent="0.3">
      <c r="A85" s="32">
        <f>ROW(Table2[[#This Row],[Footprint]])</f>
        <v>85</v>
      </c>
      <c r="G85">
        <f>Table2[[#This Row],[Quantity]]*$M$3</f>
        <v>0</v>
      </c>
      <c r="H85">
        <v>0</v>
      </c>
      <c r="I85">
        <f>IF(Table2[[#This Row],[Total]]-Table2[[#This Row],[Personal Stock]]&lt;=0,0,Table2[[#This Row],[Total]]-Table2[[#This Row],[Personal Stock]])</f>
        <v>0</v>
      </c>
    </row>
    <row r="86" spans="1:9" x14ac:dyDescent="0.3">
      <c r="A86" s="32">
        <f>ROW(Table2[[#This Row],[Footprint]])</f>
        <v>86</v>
      </c>
      <c r="G86">
        <f>Table2[[#This Row],[Quantity]]*$M$3</f>
        <v>0</v>
      </c>
      <c r="H86">
        <v>0</v>
      </c>
      <c r="I86">
        <f>IF(Table2[[#This Row],[Total]]-Table2[[#This Row],[Personal Stock]]&lt;=0,0,Table2[[#This Row],[Total]]-Table2[[#This Row],[Personal Stock]])</f>
        <v>0</v>
      </c>
    </row>
    <row r="87" spans="1:9" x14ac:dyDescent="0.3">
      <c r="A87" s="32">
        <f>ROW(Table2[[#This Row],[Footprint]])</f>
        <v>87</v>
      </c>
      <c r="G87">
        <f>Table2[[#This Row],[Quantity]]*$M$3</f>
        <v>0</v>
      </c>
      <c r="H87">
        <v>0</v>
      </c>
      <c r="I87">
        <f>IF(Table2[[#This Row],[Total]]-Table2[[#This Row],[Personal Stock]]&lt;=0,0,Table2[[#This Row],[Total]]-Table2[[#This Row],[Personal Stock]])</f>
        <v>0</v>
      </c>
    </row>
    <row r="88" spans="1:9" x14ac:dyDescent="0.3">
      <c r="A88" s="32">
        <f>ROW(Table2[[#This Row],[Footprint]])</f>
        <v>88</v>
      </c>
      <c r="G88">
        <f>Table2[[#This Row],[Quantity]]*$M$3</f>
        <v>0</v>
      </c>
      <c r="H88">
        <v>0</v>
      </c>
      <c r="I88">
        <f>IF(Table2[[#This Row],[Total]]-Table2[[#This Row],[Personal Stock]]&lt;=0,0,Table2[[#This Row],[Total]]-Table2[[#This Row],[Personal Stock]])</f>
        <v>0</v>
      </c>
    </row>
    <row r="89" spans="1:9" x14ac:dyDescent="0.3">
      <c r="A89" s="32">
        <f>ROW(Table2[[#This Row],[Footprint]])</f>
        <v>89</v>
      </c>
      <c r="G89">
        <f>Table2[[#This Row],[Quantity]]*$M$3</f>
        <v>0</v>
      </c>
      <c r="H89">
        <v>0</v>
      </c>
      <c r="I89">
        <f>IF(Table2[[#This Row],[Total]]-Table2[[#This Row],[Personal Stock]]&lt;=0,0,Table2[[#This Row],[Total]]-Table2[[#This Row],[Personal Stock]])</f>
        <v>0</v>
      </c>
    </row>
    <row r="90" spans="1:9" x14ac:dyDescent="0.3">
      <c r="A90" s="32">
        <f>ROW(Table2[[#This Row],[Footprint]])</f>
        <v>90</v>
      </c>
      <c r="G90">
        <f>Table2[[#This Row],[Quantity]]*$M$3</f>
        <v>0</v>
      </c>
      <c r="H90">
        <v>0</v>
      </c>
      <c r="I90">
        <f>IF(Table2[[#This Row],[Total]]-Table2[[#This Row],[Personal Stock]]&lt;=0,0,Table2[[#This Row],[Total]]-Table2[[#This Row],[Personal Stock]])</f>
        <v>0</v>
      </c>
    </row>
    <row r="91" spans="1:9" x14ac:dyDescent="0.3">
      <c r="A91" s="32">
        <f>ROW(Table2[[#This Row],[Footprint]])</f>
        <v>91</v>
      </c>
      <c r="G91">
        <f>Table2[[#This Row],[Quantity]]*$M$3</f>
        <v>0</v>
      </c>
      <c r="H91">
        <v>0</v>
      </c>
      <c r="I91">
        <f>IF(Table2[[#This Row],[Total]]-Table2[[#This Row],[Personal Stock]]&lt;=0,0,Table2[[#This Row],[Total]]-Table2[[#This Row],[Personal Stock]])</f>
        <v>0</v>
      </c>
    </row>
    <row r="92" spans="1:9" x14ac:dyDescent="0.3">
      <c r="A92" s="32">
        <f>ROW(Table2[[#This Row],[Footprint]])</f>
        <v>92</v>
      </c>
      <c r="G92">
        <f>Table2[[#This Row],[Quantity]]*$M$3</f>
        <v>0</v>
      </c>
      <c r="H92">
        <v>0</v>
      </c>
      <c r="I92">
        <f>IF(Table2[[#This Row],[Total]]-Table2[[#This Row],[Personal Stock]]&lt;=0,0,Table2[[#This Row],[Total]]-Table2[[#This Row],[Personal Stock]])</f>
        <v>0</v>
      </c>
    </row>
    <row r="93" spans="1:9" x14ac:dyDescent="0.3">
      <c r="A93" s="32">
        <f>ROW(Table2[[#This Row],[Footprint]])</f>
        <v>93</v>
      </c>
      <c r="G93">
        <f>Table2[[#This Row],[Quantity]]*$M$3</f>
        <v>0</v>
      </c>
      <c r="H93">
        <v>0</v>
      </c>
      <c r="I93">
        <f>IF(Table2[[#This Row],[Total]]-Table2[[#This Row],[Personal Stock]]&lt;=0,0,Table2[[#This Row],[Total]]-Table2[[#This Row],[Personal Stock]])</f>
        <v>0</v>
      </c>
    </row>
    <row r="94" spans="1:9" x14ac:dyDescent="0.3">
      <c r="A94" s="32">
        <f>ROW(Table2[[#This Row],[Footprint]])</f>
        <v>94</v>
      </c>
      <c r="G94">
        <f>Table2[[#This Row],[Quantity]]*$M$3</f>
        <v>0</v>
      </c>
      <c r="H94">
        <v>0</v>
      </c>
      <c r="I94">
        <f>IF(Table2[[#This Row],[Total]]-Table2[[#This Row],[Personal Stock]]&lt;=0,0,Table2[[#This Row],[Total]]-Table2[[#This Row],[Personal Stock]])</f>
        <v>0</v>
      </c>
    </row>
    <row r="95" spans="1:9" x14ac:dyDescent="0.3">
      <c r="A95" s="32">
        <f>ROW(Table2[[#This Row],[Footprint]])</f>
        <v>95</v>
      </c>
      <c r="G95">
        <f>Table2[[#This Row],[Quantity]]*$M$3</f>
        <v>0</v>
      </c>
      <c r="H95">
        <v>0</v>
      </c>
      <c r="I95">
        <f>IF(Table2[[#This Row],[Total]]-Table2[[#This Row],[Personal Stock]]&lt;=0,0,Table2[[#This Row],[Total]]-Table2[[#This Row],[Personal Stock]])</f>
        <v>0</v>
      </c>
    </row>
    <row r="96" spans="1:9" x14ac:dyDescent="0.3">
      <c r="A96" s="32">
        <f>ROW(Table2[[#This Row],[Footprint]])</f>
        <v>96</v>
      </c>
      <c r="G96">
        <f>Table2[[#This Row],[Quantity]]*$M$3</f>
        <v>0</v>
      </c>
      <c r="H96">
        <v>0</v>
      </c>
      <c r="I96">
        <f>IF(Table2[[#This Row],[Total]]-Table2[[#This Row],[Personal Stock]]&lt;=0,0,Table2[[#This Row],[Total]]-Table2[[#This Row],[Personal Stock]])</f>
        <v>0</v>
      </c>
    </row>
    <row r="97" spans="1:9" x14ac:dyDescent="0.3">
      <c r="A97" s="32">
        <f>ROW(Table2[[#This Row],[Footprint]])</f>
        <v>97</v>
      </c>
      <c r="G97">
        <f>Table2[[#This Row],[Quantity]]*$M$3</f>
        <v>0</v>
      </c>
      <c r="H97">
        <v>0</v>
      </c>
      <c r="I97">
        <f>IF(Table2[[#This Row],[Total]]-Table2[[#This Row],[Personal Stock]]&lt;=0,0,Table2[[#This Row],[Total]]-Table2[[#This Row],[Personal Stock]])</f>
        <v>0</v>
      </c>
    </row>
    <row r="98" spans="1:9" x14ac:dyDescent="0.3">
      <c r="A98" s="32">
        <f>ROW(Table2[[#This Row],[Footprint]])</f>
        <v>98</v>
      </c>
      <c r="G98">
        <f>Table2[[#This Row],[Quantity]]*$M$3</f>
        <v>0</v>
      </c>
      <c r="H98">
        <v>0</v>
      </c>
      <c r="I98">
        <f>IF(Table2[[#This Row],[Total]]-Table2[[#This Row],[Personal Stock]]&lt;=0,0,Table2[[#This Row],[Total]]-Table2[[#This Row],[Personal Stock]])</f>
        <v>0</v>
      </c>
    </row>
    <row r="99" spans="1:9" x14ac:dyDescent="0.3">
      <c r="A99" s="32">
        <f>ROW(Table2[[#This Row],[Footprint]])</f>
        <v>99</v>
      </c>
      <c r="G99">
        <f>Table2[[#This Row],[Quantity]]*$M$3</f>
        <v>0</v>
      </c>
      <c r="H99">
        <v>0</v>
      </c>
      <c r="I99">
        <f>IF(Table2[[#This Row],[Total]]-Table2[[#This Row],[Personal Stock]]&lt;=0,0,Table2[[#This Row],[Total]]-Table2[[#This Row],[Personal Stock]])</f>
        <v>0</v>
      </c>
    </row>
    <row r="100" spans="1:9" x14ac:dyDescent="0.3">
      <c r="A100" s="32">
        <f>ROW(Table2[[#This Row],[Footprint]])</f>
        <v>100</v>
      </c>
      <c r="G100">
        <f>Table2[[#This Row],[Quantity]]*$M$3</f>
        <v>0</v>
      </c>
      <c r="H100">
        <v>0</v>
      </c>
      <c r="I100">
        <f>IF(Table2[[#This Row],[Total]]-Table2[[#This Row],[Personal Stock]]&lt;=0,0,Table2[[#This Row],[Total]]-Table2[[#This Row],[Personal Stock]])</f>
        <v>0</v>
      </c>
    </row>
    <row r="101" spans="1:9" x14ac:dyDescent="0.3">
      <c r="A101" s="32">
        <f>ROW(Table2[[#This Row],[Footprint]])</f>
        <v>101</v>
      </c>
      <c r="G101">
        <f>Table2[[#This Row],[Quantity]]*$M$3</f>
        <v>0</v>
      </c>
      <c r="H101">
        <v>0</v>
      </c>
      <c r="I101">
        <f>IF(Table2[[#This Row],[Total]]-Table2[[#This Row],[Personal Stock]]&lt;=0,0,Table2[[#This Row],[Total]]-Table2[[#This Row],[Personal Stock]])</f>
        <v>0</v>
      </c>
    </row>
  </sheetData>
  <phoneticPr fontId="5" type="noConversion"/>
  <conditionalFormatting sqref="I1:I101">
    <cfRule type="cellIs" dxfId="0" priority="2" operator="equal">
      <formula>0</formula>
    </cfRule>
  </conditionalFormatting>
  <conditionalFormatting sqref="O2:O47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Components</vt:lpstr>
      <vt:lpstr>Electrical BOM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Ángel</dc:creator>
  <cp:lastModifiedBy>Ángel Pelegry</cp:lastModifiedBy>
  <dcterms:created xsi:type="dcterms:W3CDTF">2015-06-05T18:17:20Z</dcterms:created>
  <dcterms:modified xsi:type="dcterms:W3CDTF">2026-05-15T23:28:14Z</dcterms:modified>
</cp:coreProperties>
</file>