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9774C82E-4424-4BD0-82A4-C183DC45129F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C3" i="1"/>
  <c r="J3" i="1"/>
  <c r="J22" i="1"/>
  <c r="J23" i="1"/>
  <c r="J24" i="1"/>
  <c r="G71" i="2"/>
  <c r="G4" i="2"/>
  <c r="I4" i="2" s="1"/>
  <c r="A4" i="2"/>
  <c r="A50" i="2"/>
  <c r="I50" i="2"/>
  <c r="J9" i="1"/>
  <c r="I53" i="2" l="1"/>
  <c r="I66" i="2"/>
  <c r="A53" i="2"/>
  <c r="A52" i="2"/>
  <c r="G52" i="2"/>
  <c r="I52" i="2" s="1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6" i="2"/>
  <c r="A30" i="2"/>
  <c r="A31" i="2"/>
  <c r="A32" i="2"/>
  <c r="A33" i="2"/>
  <c r="A34" i="2"/>
  <c r="A35" i="2"/>
  <c r="A37" i="2"/>
  <c r="A38" i="2"/>
  <c r="A39" i="2"/>
  <c r="A40" i="2"/>
  <c r="A41" i="2"/>
  <c r="A42" i="2"/>
  <c r="A2" i="2"/>
  <c r="A43" i="2"/>
  <c r="A44" i="2"/>
  <c r="A45" i="2"/>
  <c r="A46" i="2"/>
  <c r="A47" i="2"/>
  <c r="A48" i="2"/>
  <c r="A51" i="2"/>
  <c r="A54" i="2"/>
  <c r="A55" i="2"/>
  <c r="A57" i="2"/>
  <c r="A58" i="2"/>
  <c r="A59" i="2"/>
  <c r="A60" i="2"/>
  <c r="A61" i="2"/>
  <c r="A62" i="2"/>
  <c r="A63" i="2"/>
  <c r="A64" i="2"/>
  <c r="A65" i="2"/>
  <c r="A66" i="2"/>
  <c r="A56" i="2"/>
  <c r="A67" i="2"/>
  <c r="A68" i="2"/>
  <c r="A49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3" i="2"/>
  <c r="G67" i="2"/>
  <c r="I67" i="2" s="1"/>
  <c r="J20" i="1"/>
  <c r="J21" i="1"/>
  <c r="G61" i="2"/>
  <c r="I61" i="2" s="1"/>
  <c r="G27" i="2"/>
  <c r="I27" i="2" s="1"/>
  <c r="G26" i="2"/>
  <c r="I26" i="2" s="1"/>
  <c r="G44" i="2"/>
  <c r="I44" i="2" s="1"/>
  <c r="G45" i="2"/>
  <c r="I45" i="2" s="1"/>
  <c r="G54" i="2"/>
  <c r="I54" i="2" s="1"/>
  <c r="G58" i="2"/>
  <c r="I58" i="2" s="1"/>
  <c r="G57" i="2"/>
  <c r="I57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8" i="2"/>
  <c r="I28" i="2" s="1"/>
  <c r="G29" i="2"/>
  <c r="I29" i="2" s="1"/>
  <c r="G36" i="2"/>
  <c r="I36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2" i="2"/>
  <c r="I2" i="2" s="1"/>
  <c r="G43" i="2"/>
  <c r="I43" i="2" s="1"/>
  <c r="G46" i="2"/>
  <c r="I46" i="2" s="1"/>
  <c r="G47" i="2"/>
  <c r="I47" i="2" s="1"/>
  <c r="G48" i="2"/>
  <c r="I48" i="2" s="1"/>
  <c r="G51" i="2"/>
  <c r="I51" i="2" s="1"/>
  <c r="G55" i="2"/>
  <c r="I55" i="2" s="1"/>
  <c r="G59" i="2"/>
  <c r="I59" i="2" s="1"/>
  <c r="G60" i="2"/>
  <c r="I60" i="2" s="1"/>
  <c r="G62" i="2"/>
  <c r="I62" i="2" s="1"/>
  <c r="G63" i="2"/>
  <c r="I63" i="2" s="1"/>
  <c r="G64" i="2"/>
  <c r="I64" i="2" s="1"/>
  <c r="G65" i="2"/>
  <c r="I65" i="2" s="1"/>
  <c r="G56" i="2"/>
  <c r="I56" i="2" s="1"/>
  <c r="G68" i="2"/>
  <c r="I68" i="2" s="1"/>
  <c r="G49" i="2"/>
  <c r="I49" i="2" s="1"/>
  <c r="I69" i="2"/>
  <c r="I70" i="2"/>
  <c r="I71" i="2"/>
  <c r="G72" i="2"/>
  <c r="I72" i="2" s="1"/>
  <c r="G73" i="2"/>
  <c r="I73" i="2" s="1"/>
  <c r="G74" i="2"/>
  <c r="I74" i="2" s="1"/>
  <c r="G75" i="2"/>
  <c r="I75" i="2" s="1"/>
  <c r="G76" i="2"/>
  <c r="I76" i="2" s="1"/>
  <c r="G77" i="2"/>
  <c r="I77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96" i="2"/>
  <c r="I96" i="2" s="1"/>
  <c r="G97" i="2"/>
  <c r="I97" i="2" s="1"/>
  <c r="G3" i="2"/>
  <c r="I3" i="2" s="1"/>
  <c r="J26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27" i="1"/>
  <c r="J28" i="1"/>
  <c r="J29" i="1"/>
  <c r="C2" i="1" l="1"/>
  <c r="J2" i="1" s="1"/>
  <c r="J30" i="1" l="1"/>
</calcChain>
</file>

<file path=xl/sharedStrings.xml><?xml version="1.0" encoding="utf-8"?>
<sst xmlns="http://schemas.openxmlformats.org/spreadsheetml/2006/main" count="286" uniqueCount="161">
  <si>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</si>
  <si>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</si>
  <si>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</si>
  <si>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</si>
  <si>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</si>
  <si>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</si>
  <si>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</si>
  <si>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</si>
  <si>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</si>
  <si>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</si>
  <si>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</si>
  <si>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</si>
  <si>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</si>
  <si>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</si>
  <si>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</si>
  <si>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</si>
  <si>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</si>
  <si>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</si>
  <si>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</si>
  <si>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</si>
  <si>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</si>
  <si>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</si>
  <si>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</si>
  <si>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</si>
  <si>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</si>
  <si>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</si>
  <si>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</si>
  <si>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</si>
  <si>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</si>
  <si>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</si>
  <si>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</si>
  <si>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</si>
  <si>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</si>
  <si>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</si>
  <si>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</si>
  <si>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</si>
  <si>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</si>
  <si>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</si>
  <si>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</si>
  <si>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</si>
  <si>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</si>
  <si>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</si>
  <si>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</si>
  <si>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</si>
  <si>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</si>
  <si>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</si>
  <si>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</si>
  <si>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</si>
  <si>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</si>
  <si>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</si>
  <si>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</si>
  <si>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</si>
  <si>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</si>
  <si>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</si>
  <si>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</si>
  <si>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</si>
  <si>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Number of boards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</si>
  <si>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</si>
  <si>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</si>
  <si>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</si>
  <si>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</si>
  <si>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</si>
  <si>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</si>
  <si>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</si>
  <si>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</si>
  <si>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36pF</t>
  </si>
  <si>
    <t>560pF</t>
  </si>
  <si>
    <t>15k</t>
  </si>
  <si>
    <t>1nF</t>
  </si>
  <si>
    <t>4k7</t>
  </si>
  <si>
    <t>0.022uF</t>
  </si>
  <si>
    <t>LED</t>
  </si>
  <si>
    <t>NTC 10k</t>
  </si>
  <si>
    <t>100R</t>
  </si>
  <si>
    <t>1uF</t>
  </si>
  <si>
    <t>22R</t>
  </si>
  <si>
    <t>10R</t>
  </si>
  <si>
    <t>2.2uF</t>
  </si>
  <si>
    <t>47uF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</si>
  <si>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</si>
  <si>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</si>
  <si>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</si>
  <si>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</si>
  <si>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</si>
  <si>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</si>
  <si>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</si>
  <si>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</si>
  <si>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</si>
  <si>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</si>
  <si>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</si>
  <si>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</si>
  <si>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</si>
  <si>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</si>
  <si>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</si>
  <si>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</si>
  <si>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</si>
  <si>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</si>
  <si>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</si>
  <si>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</si>
  <si>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FH4008GS</t>
  </si>
  <si>
    <t>SM7850</t>
  </si>
  <si>
    <t>22uH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</si>
  <si>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</si>
  <si>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</si>
  <si>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</si>
  <si>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</si>
  <si>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</si>
  <si>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</si>
  <si>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</si>
  <si>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</si>
  <si>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</si>
  <si>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</si>
  <si>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</si>
  <si>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</si>
  <si>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</si>
  <si>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</si>
  <si>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</si>
  <si>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</si>
  <si>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</si>
  <si>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</si>
  <si>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</si>
  <si>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</si>
  <si>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</si>
  <si>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</si>
  <si>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</si>
  <si>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</si>
  <si>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</si>
  <si>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</si>
  <si>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</si>
  <si>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</si>
  <si>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</si>
  <si>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</si>
  <si>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</si>
  <si>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Prior B3030</t>
  </si>
  <si>
    <t>Voltage requirements</t>
  </si>
  <si>
    <t>Voltage comp</t>
  </si>
  <si>
    <t>Max 5V</t>
  </si>
  <si>
    <t>10V</t>
  </si>
  <si>
    <t>1.5nF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</si>
  <si>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</si>
  <si>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</si>
  <si>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</si>
  <si>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</si>
  <si>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</si>
  <si>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</si>
  <si>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</si>
  <si>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</si>
  <si>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</si>
  <si>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</si>
  <si>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Senior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</si>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</sst>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</cellXfs>
  <cellStyles count="2">
    <cellStyle name="Hyperlink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0" totalsRowCount="1" headerRowDxfId="35" dataDxfId="33" headerRowBorderDxfId="34" tableBorderDxfId="32">
  <autoFilter ref="A1:K29" xr:uid="{57113999-89B8-4DCA-AAEB-0496B38A0B13}"/>
  <tableColumns count="11">
    <tableColumn id="1" xr3:uid="{C01A5BB4-2776-4DA4-B397-20536FB6B151}" name="Component" dataDxfId="31" totalsRowDxfId="10"/>
    <tableColumn id="2" xr3:uid="{D16A6BB5-FB54-4A08-8F36-6F894F571CA2}" name="Supplier" dataDxfId="30" totalsRowDxfId="9"/>
    <tableColumn id="3" xr3:uid="{13E6D449-D029-4B98-A474-567EF4C137DD}" name="Unit Price" dataDxfId="29" totalsRowDxfId="8"/>
    <tableColumn id="4" xr3:uid="{BFC6BC80-26FB-482F-B354-EBAC0B59B079}" name="Quantity / Board" dataDxfId="28" totalsRowDxfId="7"/>
    <tableColumn id="8" xr3:uid="{60AEBA47-4243-42D3-988F-F3DB3204B15E}" name="Total Quantity 6 + 2" dataDxfId="27" totalsRowDxfId="6"/>
    <tableColumn id="12" xr3:uid="{4B5F8A5D-14B9-498E-9411-2EEB2C426CA5}" name="Left to Purchase" dataDxfId="26" totalsRowDxfId="5"/>
    <tableColumn id="5" xr3:uid="{E17DAC7E-1E39-4AF4-8109-E85C3BEA4D94}" name="Shipping Costs" dataDxfId="25" totalsRowDxfId="4"/>
    <tableColumn id="10" xr3:uid="{80648434-14FA-49B4-BA1C-C16B6DFD9A61}" name="Purchased" dataDxfId="24" totalsRowDxfId="3"/>
    <tableColumn id="9" xr3:uid="{2A4D153E-2215-40C4-B217-8FADF5785568}" name="Arrived" dataDxfId="23" totalsRowDxfId="2"/>
    <tableColumn id="6" xr3:uid="{9BE18441-967B-45FF-8A88-16AF220F7381}" name="Total" totalsRowFunction="custom" dataDxfId="22" totalsRowDxfId="1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21" totalsRowDxfId="0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I97" totalsRowShown="0">
  <autoFilter ref="A1:I97" xr:uid="{22595191-1704-4DAD-B045-FA2F04CF59FF}"/>
  <sortState xmlns:xlrd2="http://schemas.microsoft.com/office/spreadsheetml/2017/richdata2" ref="A2:I97">
    <sortCondition ref="B1:B97"/>
  </sortState>
  <tableColumns count="9">
    <tableColumn id="1" xr3:uid="{573F2863-704A-459C-9EBD-42757DB1F58F}" name="Id" dataDxfId="20">
      <calculatedColumnFormula>ROW(Table2[[#This Row],[Footprint]])</calculatedColumnFormula>
    </tableColumn>
    <tableColumn id="2" xr3:uid="{94458B27-EAA7-4644-96D5-025617151FB9}" name="Footprint" dataDxfId="19"/>
    <tableColumn id="3" xr3:uid="{E80410E2-6881-4DFC-8748-8A0D261433F2}" name="Quantity" dataDxfId="18"/>
    <tableColumn id="4" xr3:uid="{1CA2020F-6B3F-4E8B-8012-03FDA5CF807D}" name="Designation" dataDxfId="17"/>
    <tableColumn id="10" xr3:uid="{C119C6F9-CB21-43A0-B289-A2AD9A4E4274}" name="Voltage comp" dataDxfId="16"/>
    <tableColumn id="9" xr3:uid="{07CA118E-230B-4E63-B486-A70F92B6979D}" name="Voltage requirements" dataDxfId="15"/>
    <tableColumn id="5" xr3:uid="{37D2A461-BCEF-4038-BCE9-6676ADE9155B}" name="Total">
      <calculatedColumnFormula>Table2[[#This Row],[Quantity]]*$M$3</calculatedColumnFormula>
    </tableColumn>
    <tableColumn id="6" xr3:uid="{4C6DF7CF-2E5F-4ECA-A520-C9BDA8B38EA1}" name="Personal Stock"/>
    <tableColumn id="7" xr3:uid="{0BE67764-592A-43FD-8413-C7CDBA42BEAE}" name="BUY / HIVE" dataDxfId="14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topLeftCell="A11" zoomScale="114" zoomScaleNormal="130" workbookViewId="0">
      <selection activeCell="J30" sqref="J30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43</v>
      </c>
      <c r="E1" s="27" t="s">
        <v>45</v>
      </c>
      <c r="F1" s="27" t="s">
        <v>44</v>
      </c>
      <c r="G1" s="21" t="s">
        <v>5</v>
      </c>
      <c r="H1" s="20" t="s">
        <v>23</v>
      </c>
      <c r="I1" s="20" t="s">
        <v>24</v>
      </c>
      <c r="J1" s="5" t="s">
        <v>8</v>
      </c>
      <c r="K1" s="6" t="s">
        <v>2</v>
      </c>
    </row>
    <row r="2" spans="1:11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25</v>
      </c>
      <c r="I2" s="24" t="s">
        <v>25</v>
      </c>
      <c r="J2" s="10">
        <f>Table1[[#This Row],[Unit Price]]*Table1[[#This Row],[Total Quantity 6 + 2]]+Table1[[#This Row],[Shipping Costs]]</f>
        <v>10.85</v>
      </c>
      <c r="K2" s="19" t="s">
        <v>9</v>
      </c>
    </row>
    <row r="3" spans="1:11" ht="24.6" x14ac:dyDescent="0.3">
      <c r="A3" s="15" t="s">
        <v>159</v>
      </c>
      <c r="B3" s="11" t="s">
        <v>20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25</v>
      </c>
      <c r="I3" s="25" t="s">
        <v>26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11</v>
      </c>
      <c r="B4" s="11" t="s">
        <v>12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25</v>
      </c>
      <c r="I4" s="25" t="s">
        <v>25</v>
      </c>
      <c r="J4" s="14">
        <f>Table1[[#This Row],[Unit Price]]*Table1[[#This Row],[Total Quantity 6 + 2]]+Table1[[#This Row],[Shipping Costs]]</f>
        <v>34.1</v>
      </c>
      <c r="K4" s="11" t="s">
        <v>10</v>
      </c>
    </row>
    <row r="5" spans="1:11" x14ac:dyDescent="0.3">
      <c r="A5" s="17" t="s">
        <v>13</v>
      </c>
      <c r="B5" s="18" t="s">
        <v>14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25</v>
      </c>
      <c r="I5" s="25" t="s">
        <v>25</v>
      </c>
      <c r="J5" s="14">
        <f>Table1[[#This Row],[Unit Price]]*Table1[[#This Row],[Total Quantity 6 + 2]]+Table1[[#This Row],[Shipping Costs]]</f>
        <v>0</v>
      </c>
      <c r="K5" s="11" t="s">
        <v>15</v>
      </c>
    </row>
    <row r="6" spans="1:11" x14ac:dyDescent="0.3">
      <c r="A6" s="16" t="s">
        <v>39</v>
      </c>
      <c r="B6" s="11" t="s">
        <v>20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25</v>
      </c>
      <c r="I6" s="25" t="s">
        <v>25</v>
      </c>
      <c r="J6" s="14">
        <f>Table1[[#This Row],[Unit Price]]*Table1[[#This Row],[Total Quantity 6 + 2]]+Table1[[#This Row],[Shipping Costs]]</f>
        <v>15.84</v>
      </c>
      <c r="K6" s="11" t="s">
        <v>16</v>
      </c>
    </row>
    <row r="7" spans="1:11" x14ac:dyDescent="0.3">
      <c r="A7" s="12" t="s">
        <v>17</v>
      </c>
      <c r="B7" s="11" t="s">
        <v>19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25</v>
      </c>
      <c r="I7" s="25" t="s">
        <v>25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18</v>
      </c>
      <c r="B8" s="11" t="s">
        <v>40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25</v>
      </c>
      <c r="I8" s="25" t="s">
        <v>25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42</v>
      </c>
      <c r="B9" s="11" t="s">
        <v>40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25</v>
      </c>
      <c r="I9" s="25" t="s">
        <v>26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27</v>
      </c>
      <c r="B10" s="11" t="s">
        <v>20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25</v>
      </c>
      <c r="I10" s="25" t="s">
        <v>25</v>
      </c>
      <c r="J10" s="14">
        <f>Table1[[#This Row],[Unit Price]]*Table1[[#This Row],[Total Quantity 6 + 2]]+Table1[[#This Row],[Shipping Costs]]</f>
        <v>8.0400000000000009</v>
      </c>
      <c r="K10" s="11" t="s">
        <v>22</v>
      </c>
    </row>
    <row r="11" spans="1:11" x14ac:dyDescent="0.3">
      <c r="A11" s="16" t="s">
        <v>28</v>
      </c>
      <c r="B11" s="11" t="s">
        <v>20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25</v>
      </c>
      <c r="I11" s="25" t="s">
        <v>25</v>
      </c>
      <c r="J11" s="14">
        <f>Table1[[#This Row],[Unit Price]]*Table1[[#This Row],[Total Quantity 6 + 2]]+Table1[[#This Row],[Shipping Costs]]</f>
        <v>4.22</v>
      </c>
      <c r="K11" s="11" t="s">
        <v>21</v>
      </c>
    </row>
    <row r="12" spans="1:11" x14ac:dyDescent="0.3">
      <c r="A12" s="12" t="s">
        <v>37</v>
      </c>
      <c r="B12" s="11" t="s">
        <v>14</v>
      </c>
      <c r="C12" s="13"/>
      <c r="D12" s="11">
        <v>1</v>
      </c>
      <c r="E12" s="11">
        <v>6</v>
      </c>
      <c r="F12" s="29">
        <v>2</v>
      </c>
      <c r="G12" s="13"/>
      <c r="H12" s="23" t="s">
        <v>25</v>
      </c>
      <c r="I12" s="25" t="s">
        <v>25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29</v>
      </c>
      <c r="B13" s="11" t="s">
        <v>41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26</v>
      </c>
      <c r="I13" s="25" t="s">
        <v>26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30</v>
      </c>
      <c r="B14" s="11" t="s">
        <v>41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26</v>
      </c>
      <c r="I14" s="25" t="s">
        <v>26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31</v>
      </c>
      <c r="B15" s="11" t="s">
        <v>32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25</v>
      </c>
      <c r="I15" s="25" t="s">
        <v>25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33</v>
      </c>
      <c r="B16" s="11" t="s">
        <v>32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25</v>
      </c>
      <c r="I16" s="25" t="s">
        <v>25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38</v>
      </c>
      <c r="B17" s="11" t="s">
        <v>34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25</v>
      </c>
      <c r="I17" s="25" t="s">
        <v>25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46</v>
      </c>
      <c r="B18" s="11" t="s">
        <v>47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25</v>
      </c>
      <c r="I18" s="25" t="s">
        <v>25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48</v>
      </c>
      <c r="B19" s="11" t="s">
        <v>32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25</v>
      </c>
      <c r="I19" s="25" t="s">
        <v>25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127</v>
      </c>
      <c r="B20" s="11" t="s">
        <v>32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25</v>
      </c>
      <c r="I20" s="25" t="s">
        <v>25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126</v>
      </c>
      <c r="B21" s="11" t="s">
        <v>32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25</v>
      </c>
      <c r="I21" s="25" t="s">
        <v>25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155</v>
      </c>
      <c r="B22" s="11" t="s">
        <v>156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25</v>
      </c>
      <c r="I22" s="25" t="s">
        <v>25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157</v>
      </c>
      <c r="B23" s="11" t="s">
        <v>156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25</v>
      </c>
      <c r="I23" s="25" t="s">
        <v>25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158</v>
      </c>
      <c r="B24" s="11" t="s">
        <v>156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25</v>
      </c>
      <c r="I24" s="25" t="s">
        <v>25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160</v>
      </c>
      <c r="B25" s="11" t="s">
        <v>20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25</v>
      </c>
      <c r="I25" s="25" t="s">
        <v>26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/>
      <c r="G26" s="13"/>
      <c r="H26" s="23"/>
      <c r="I26" s="25"/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35</v>
      </c>
      <c r="B27" s="11"/>
      <c r="C27" s="13"/>
      <c r="D27" s="11"/>
      <c r="E27" s="11"/>
      <c r="F27" s="29"/>
      <c r="G27" s="13"/>
      <c r="H27" s="23"/>
      <c r="I27" s="25"/>
      <c r="J27" s="26">
        <f>Table1[[#This Row],[Unit Price]]*Table1[[#This Row],[Total Quantity 6 + 2]]+Table1[[#This Row],[Shipping Costs]]</f>
        <v>0</v>
      </c>
      <c r="K27" s="11"/>
    </row>
    <row r="28" spans="1:11" x14ac:dyDescent="0.3">
      <c r="A28" s="12" t="s">
        <v>36</v>
      </c>
      <c r="B28" s="11"/>
      <c r="C28" s="13"/>
      <c r="D28" s="11"/>
      <c r="E28" s="11"/>
      <c r="F28" s="29"/>
      <c r="G28" s="13"/>
      <c r="H28" s="23"/>
      <c r="I28" s="25"/>
      <c r="J28" s="26">
        <f>Table1[[#This Row],[Unit Price]]*Table1[[#This Row],[Total Quantity 6 + 2]]+Table1[[#This Row],[Shipping Costs]]</f>
        <v>0</v>
      </c>
      <c r="K28" s="11"/>
    </row>
    <row r="29" spans="1:11" x14ac:dyDescent="0.3">
      <c r="A29" s="12"/>
      <c r="B29" s="11"/>
      <c r="C29" s="13"/>
      <c r="D29" s="11"/>
      <c r="E29" s="11"/>
      <c r="F29" s="29"/>
      <c r="G29" s="13"/>
      <c r="H29" s="23"/>
      <c r="I29" s="25"/>
      <c r="J29" s="14">
        <f>Table1[[#This Row],[Unit Price]]*Table1[[#This Row],[Total Quantity 6 + 2]]+Table1[[#This Row],[Shipping Costs]]</f>
        <v>0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14">
        <f>SUM(Table1[Total])</f>
        <v>230.66</v>
      </c>
      <c r="K30" s="11"/>
    </row>
  </sheetData>
  <conditionalFormatting sqref="F2:F30">
    <cfRule type="cellIs" dxfId="13" priority="1" operator="equal">
      <formula>0</formula>
    </cfRule>
  </conditionalFormatting>
  <conditionalFormatting sqref="H2:I30">
    <cfRule type="cellIs" dxfId="12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M97"/>
  <sheetViews>
    <sheetView topLeftCell="A53" workbookViewId="0">
      <selection activeCell="B72" sqref="B72"/>
    </sheetView>
  </sheetViews>
  <sheetFormatPr defaultRowHeight="14.4" x14ac:dyDescent="0.3"/>
  <cols>
    <col min="1" max="1" width="16.109375" style="32" customWidth="1"/>
    <col min="2" max="2" width="44.5546875" style="31" customWidth="1"/>
    <col min="3" max="3" width="14.33203125" style="32" customWidth="1"/>
    <col min="4" max="5" width="19" style="30" customWidth="1"/>
    <col min="6" max="6" width="21.88671875" style="30" customWidth="1"/>
    <col min="7" max="7" width="12.88671875" customWidth="1"/>
    <col min="8" max="8" width="16.77734375" customWidth="1"/>
    <col min="9" max="9" width="18.77734375" customWidth="1"/>
    <col min="10" max="10" width="15" customWidth="1"/>
    <col min="12" max="12" width="23.5546875" customWidth="1"/>
  </cols>
  <sheetData>
    <row r="1" spans="1:13" x14ac:dyDescent="0.3">
      <c r="A1" s="32" t="s">
        <v>49</v>
      </c>
      <c r="B1" s="31" t="s">
        <v>50</v>
      </c>
      <c r="C1" s="32" t="s">
        <v>4</v>
      </c>
      <c r="D1" s="30" t="s">
        <v>51</v>
      </c>
      <c r="E1" s="30" t="s">
        <v>135</v>
      </c>
      <c r="F1" s="30" t="s">
        <v>134</v>
      </c>
      <c r="G1" t="s">
        <v>8</v>
      </c>
      <c r="H1" t="s">
        <v>52</v>
      </c>
      <c r="I1" t="s">
        <v>53</v>
      </c>
    </row>
    <row r="2" spans="1:13" x14ac:dyDescent="0.3">
      <c r="A2" s="32">
        <f>ROW(Table2[[#This Row],[Footprint]])</f>
        <v>2</v>
      </c>
      <c r="B2" s="31">
        <v>2512</v>
      </c>
      <c r="C2" s="32">
        <v>2</v>
      </c>
      <c r="D2" s="30" t="s">
        <v>83</v>
      </c>
      <c r="G2">
        <f>Table2[[#This Row],[Quantity]]*$M$3</f>
        <v>16</v>
      </c>
      <c r="H2">
        <v>10</v>
      </c>
      <c r="I2">
        <f>IF(Table2[[#This Row],[Total]]-Table2[[#This Row],[Personal Stock]]&lt;=0,0,Table2[[#This Row],[Total]]-Table2[[#This Row],[Personal Stock]])</f>
        <v>6</v>
      </c>
      <c r="J2" t="s">
        <v>19</v>
      </c>
    </row>
    <row r="3" spans="1:13" x14ac:dyDescent="0.3">
      <c r="A3" s="32">
        <f>ROW(Table2[[#This Row],[Footprint]])</f>
        <v>3</v>
      </c>
      <c r="B3" s="31" t="s">
        <v>122</v>
      </c>
      <c r="C3" s="32">
        <v>1</v>
      </c>
      <c r="D3" s="30" t="s">
        <v>54</v>
      </c>
      <c r="G3">
        <f>Table2[[#This Row],[Quantity]]*$M$3</f>
        <v>8</v>
      </c>
      <c r="H3">
        <v>50</v>
      </c>
      <c r="I3">
        <f>IF(Table2[[#This Row],[Total]]-Table2[[#This Row],[Personal Stock]]&lt;=0,0,Table2[[#This Row],[Total]]-Table2[[#This Row],[Personal Stock]])</f>
        <v>0</v>
      </c>
      <c r="L3" s="33" t="s">
        <v>56</v>
      </c>
      <c r="M3" s="33">
        <v>8</v>
      </c>
    </row>
    <row r="4" spans="1:13" ht="15" thickBot="1" x14ac:dyDescent="0.35">
      <c r="A4" s="32">
        <f>ROW(Table2[[#This Row],[Footprint]])</f>
        <v>4</v>
      </c>
      <c r="B4" s="31" t="s">
        <v>123</v>
      </c>
      <c r="C4" s="32">
        <v>4</v>
      </c>
      <c r="D4" s="30" t="s">
        <v>151</v>
      </c>
      <c r="G4">
        <f>Table2[[#This Row],[Quantity]]*$M$3</f>
        <v>32</v>
      </c>
      <c r="H4">
        <v>40</v>
      </c>
      <c r="I4">
        <f>IF(Table2[[#This Row],[Total]]-Table2[[#This Row],[Personal Stock]]&lt;=0,0,Table2[[#This Row],[Total]]-Table2[[#This Row],[Personal Stock]])</f>
        <v>0</v>
      </c>
      <c r="L4" s="33"/>
      <c r="M4" s="33"/>
    </row>
    <row r="5" spans="1:13" x14ac:dyDescent="0.3">
      <c r="A5" s="34">
        <f>ROW(Table2[[#This Row],[Footprint]])</f>
        <v>5</v>
      </c>
      <c r="B5" s="35" t="s">
        <v>123</v>
      </c>
      <c r="C5" s="36">
        <v>1</v>
      </c>
      <c r="D5" s="37" t="s">
        <v>55</v>
      </c>
      <c r="E5" s="37"/>
      <c r="F5" s="37"/>
      <c r="G5" s="38">
        <f>Table2[[#This Row],[Quantity]]*$M$3</f>
        <v>8</v>
      </c>
      <c r="H5" s="38">
        <v>50</v>
      </c>
      <c r="I5" s="39">
        <f>IF(Table2[[#This Row],[Total]]-Table2[[#This Row],[Personal Stock]]&lt;=0,0,Table2[[#This Row],[Total]]-Table2[[#This Row],[Personal Stock]])</f>
        <v>0</v>
      </c>
      <c r="L5" s="33" t="s">
        <v>58</v>
      </c>
      <c r="M5" s="33">
        <v>2</v>
      </c>
    </row>
    <row r="6" spans="1:13" x14ac:dyDescent="0.3">
      <c r="A6" s="40">
        <f>ROW(Table2[[#This Row],[Footprint]])</f>
        <v>6</v>
      </c>
      <c r="B6" s="31" t="s">
        <v>123</v>
      </c>
      <c r="C6" s="32">
        <v>1</v>
      </c>
      <c r="D6" s="30" t="s">
        <v>57</v>
      </c>
      <c r="G6">
        <f>Table2[[#This Row],[Quantity]]*$M$3</f>
        <v>8</v>
      </c>
      <c r="H6">
        <v>50</v>
      </c>
      <c r="I6" s="41">
        <f>IF(Table2[[#This Row],[Total]]-Table2[[#This Row],[Personal Stock]]&lt;=0,0,Table2[[#This Row],[Total]]-Table2[[#This Row],[Personal Stock]])</f>
        <v>0</v>
      </c>
    </row>
    <row r="7" spans="1:13" x14ac:dyDescent="0.3">
      <c r="A7" s="40">
        <f>ROW(Table2[[#This Row],[Footprint]])</f>
        <v>7</v>
      </c>
      <c r="B7" s="31" t="s">
        <v>123</v>
      </c>
      <c r="C7" s="32">
        <v>14</v>
      </c>
      <c r="D7" s="30" t="s">
        <v>59</v>
      </c>
      <c r="E7" s="30" t="s">
        <v>137</v>
      </c>
      <c r="F7" s="30" t="s">
        <v>136</v>
      </c>
      <c r="G7">
        <f>Table2[[#This Row],[Quantity]]*$M$3</f>
        <v>112</v>
      </c>
      <c r="H7">
        <v>500</v>
      </c>
      <c r="I7" s="41">
        <f>IF(Table2[[#This Row],[Total]]-Table2[[#This Row],[Personal Stock]]&lt;=0,0,Table2[[#This Row],[Total]]-Table2[[#This Row],[Personal Stock]])</f>
        <v>0</v>
      </c>
    </row>
    <row r="8" spans="1:13" x14ac:dyDescent="0.3">
      <c r="A8" s="40">
        <f>ROW(Table2[[#This Row],[Footprint]])</f>
        <v>8</v>
      </c>
      <c r="B8" s="31" t="s">
        <v>123</v>
      </c>
      <c r="C8" s="32">
        <v>1</v>
      </c>
      <c r="D8" s="30" t="s">
        <v>60</v>
      </c>
      <c r="G8">
        <f>Table2[[#This Row],[Quantity]]*$M$3</f>
        <v>8</v>
      </c>
      <c r="H8">
        <v>20</v>
      </c>
      <c r="I8" s="41">
        <f>IF(Table2[[#This Row],[Total]]-Table2[[#This Row],[Personal Stock]]&lt;=0,0,Table2[[#This Row],[Total]]-Table2[[#This Row],[Personal Stock]])</f>
        <v>0</v>
      </c>
    </row>
    <row r="9" spans="1:13" x14ac:dyDescent="0.3">
      <c r="A9" s="40">
        <f>ROW(Table2[[#This Row],[Footprint]])</f>
        <v>9</v>
      </c>
      <c r="B9" s="31" t="s">
        <v>123</v>
      </c>
      <c r="C9" s="32">
        <v>2</v>
      </c>
      <c r="D9" s="30" t="s">
        <v>61</v>
      </c>
      <c r="G9">
        <f>Table2[[#This Row],[Quantity]]*$M$3</f>
        <v>16</v>
      </c>
      <c r="H9">
        <v>40</v>
      </c>
      <c r="I9" s="41">
        <f>IF(Table2[[#This Row],[Total]]-Table2[[#This Row],[Personal Stock]]&lt;=0,0,Table2[[#This Row],[Total]]-Table2[[#This Row],[Personal Stock]])</f>
        <v>0</v>
      </c>
    </row>
    <row r="10" spans="1:13" x14ac:dyDescent="0.3">
      <c r="A10" s="40">
        <f>ROW(Table2[[#This Row],[Footprint]])</f>
        <v>10</v>
      </c>
      <c r="B10" s="31" t="s">
        <v>123</v>
      </c>
      <c r="C10" s="32">
        <v>9</v>
      </c>
      <c r="D10" s="30" t="s">
        <v>62</v>
      </c>
      <c r="G10">
        <f>Table2[[#This Row],[Quantity]]*$M$3</f>
        <v>72</v>
      </c>
      <c r="H10">
        <v>80</v>
      </c>
      <c r="I10" s="41">
        <f>IF(Table2[[#This Row],[Total]]-Table2[[#This Row],[Personal Stock]]&lt;=0,0,Table2[[#This Row],[Total]]-Table2[[#This Row],[Personal Stock]])</f>
        <v>0</v>
      </c>
    </row>
    <row r="11" spans="1:13" x14ac:dyDescent="0.3">
      <c r="A11" s="40">
        <f>ROW(Table2[[#This Row],[Footprint]])</f>
        <v>11</v>
      </c>
      <c r="B11" s="31" t="s">
        <v>123</v>
      </c>
      <c r="C11" s="32">
        <v>2</v>
      </c>
      <c r="D11" s="30" t="s">
        <v>63</v>
      </c>
      <c r="G11">
        <f>Table2[[#This Row],[Quantity]]*$M$3</f>
        <v>16</v>
      </c>
      <c r="H11">
        <v>40</v>
      </c>
      <c r="I11" s="41">
        <f>IF(Table2[[#This Row],[Total]]-Table2[[#This Row],[Personal Stock]]&lt;=0,0,Table2[[#This Row],[Total]]-Table2[[#This Row],[Personal Stock]])</f>
        <v>0</v>
      </c>
    </row>
    <row r="12" spans="1:13" x14ac:dyDescent="0.3">
      <c r="A12" s="40">
        <f>ROW(Table2[[#This Row],[Footprint]])</f>
        <v>12</v>
      </c>
      <c r="B12" s="31" t="s">
        <v>123</v>
      </c>
      <c r="C12" s="32">
        <v>4</v>
      </c>
      <c r="D12" s="30" t="s">
        <v>64</v>
      </c>
      <c r="G12">
        <f>Table2[[#This Row],[Quantity]]*$M$3</f>
        <v>32</v>
      </c>
      <c r="H12">
        <v>50</v>
      </c>
      <c r="I12" s="41">
        <f>IF(Table2[[#This Row],[Total]]-Table2[[#This Row],[Personal Stock]]&lt;=0,0,Table2[[#This Row],[Total]]-Table2[[#This Row],[Personal Stock]])</f>
        <v>0</v>
      </c>
    </row>
    <row r="13" spans="1:13" x14ac:dyDescent="0.3">
      <c r="A13" s="40">
        <f>ROW(Table2[[#This Row],[Footprint]])</f>
        <v>13</v>
      </c>
      <c r="B13" s="31" t="s">
        <v>123</v>
      </c>
      <c r="C13" s="32">
        <v>1</v>
      </c>
      <c r="D13" s="30" t="s">
        <v>138</v>
      </c>
      <c r="G13">
        <f>Table2[[#This Row],[Quantity]]*$M$3</f>
        <v>8</v>
      </c>
      <c r="H13">
        <v>30</v>
      </c>
      <c r="I13" s="41">
        <f>IF(Table2[[#This Row],[Total]]-Table2[[#This Row],[Personal Stock]]&lt;=0,0,Table2[[#This Row],[Total]]-Table2[[#This Row],[Personal Stock]])</f>
        <v>0</v>
      </c>
    </row>
    <row r="14" spans="1:13" x14ac:dyDescent="0.3">
      <c r="A14" s="40">
        <f>ROW(Table2[[#This Row],[Footprint]])</f>
        <v>14</v>
      </c>
      <c r="B14" s="31" t="s">
        <v>123</v>
      </c>
      <c r="C14" s="32">
        <v>1</v>
      </c>
      <c r="D14" s="30" t="s">
        <v>65</v>
      </c>
      <c r="G14">
        <f>Table2[[#This Row],[Quantity]]*$M$3</f>
        <v>8</v>
      </c>
      <c r="H14">
        <v>20</v>
      </c>
      <c r="I14" s="41">
        <f>IF(Table2[[#This Row],[Total]]-Table2[[#This Row],[Personal Stock]]&lt;=0,0,Table2[[#This Row],[Total]]-Table2[[#This Row],[Personal Stock]])</f>
        <v>0</v>
      </c>
    </row>
    <row r="15" spans="1:13" x14ac:dyDescent="0.3">
      <c r="A15" s="40">
        <f>ROW(Table2[[#This Row],[Footprint]])</f>
        <v>15</v>
      </c>
      <c r="B15" s="31" t="s">
        <v>123</v>
      </c>
      <c r="C15" s="32">
        <v>2</v>
      </c>
      <c r="D15" s="30" t="s">
        <v>66</v>
      </c>
      <c r="G15">
        <f>Table2[[#This Row],[Quantity]]*$M$3</f>
        <v>16</v>
      </c>
      <c r="H15">
        <v>25</v>
      </c>
      <c r="I15" s="41">
        <f>IF(Table2[[#This Row],[Total]]-Table2[[#This Row],[Personal Stock]]&lt;=0,0,Table2[[#This Row],[Total]]-Table2[[#This Row],[Personal Stock]])</f>
        <v>0</v>
      </c>
    </row>
    <row r="16" spans="1:13" x14ac:dyDescent="0.3">
      <c r="A16" s="40">
        <f>ROW(Table2[[#This Row],[Footprint]])</f>
        <v>16</v>
      </c>
      <c r="B16" s="31" t="s">
        <v>123</v>
      </c>
      <c r="C16" s="32">
        <v>1</v>
      </c>
      <c r="D16" s="30" t="s">
        <v>67</v>
      </c>
      <c r="G16">
        <f>Table2[[#This Row],[Quantity]]*$M$3</f>
        <v>8</v>
      </c>
      <c r="H16">
        <v>40</v>
      </c>
      <c r="I16" s="41">
        <f>IF(Table2[[#This Row],[Total]]-Table2[[#This Row],[Personal Stock]]&lt;=0,0,Table2[[#This Row],[Total]]-Table2[[#This Row],[Personal Stock]])</f>
        <v>0</v>
      </c>
    </row>
    <row r="17" spans="1:10" x14ac:dyDescent="0.3">
      <c r="A17" s="40">
        <f>ROW(Table2[[#This Row],[Footprint]])</f>
        <v>17</v>
      </c>
      <c r="B17" s="31" t="s">
        <v>123</v>
      </c>
      <c r="C17" s="32">
        <v>2</v>
      </c>
      <c r="D17" s="30">
        <v>56</v>
      </c>
      <c r="G17">
        <f>Table2[[#This Row],[Quantity]]*$M$3</f>
        <v>16</v>
      </c>
      <c r="H17">
        <v>30</v>
      </c>
      <c r="I17" s="41">
        <f>IF(Table2[[#This Row],[Total]]-Table2[[#This Row],[Personal Stock]]&lt;=0,0,Table2[[#This Row],[Total]]-Table2[[#This Row],[Personal Stock]])</f>
        <v>0</v>
      </c>
    </row>
    <row r="18" spans="1:10" x14ac:dyDescent="0.3">
      <c r="A18" s="40">
        <f>ROW(Table2[[#This Row],[Footprint]])</f>
        <v>18</v>
      </c>
      <c r="B18" s="31" t="s">
        <v>123</v>
      </c>
      <c r="C18" s="32">
        <v>2</v>
      </c>
      <c r="D18" s="30" t="s">
        <v>68</v>
      </c>
      <c r="E18" s="30" t="s">
        <v>145</v>
      </c>
      <c r="G18">
        <f>Table2[[#This Row],[Quantity]]*$M$3</f>
        <v>16</v>
      </c>
      <c r="H18">
        <v>35</v>
      </c>
      <c r="I18" s="41">
        <f>IF(Table2[[#This Row],[Total]]-Table2[[#This Row],[Personal Stock]]&lt;=0,0,Table2[[#This Row],[Total]]-Table2[[#This Row],[Personal Stock]])</f>
        <v>0</v>
      </c>
    </row>
    <row r="19" spans="1:10" x14ac:dyDescent="0.3">
      <c r="A19" s="40">
        <f>ROW(Table2[[#This Row],[Footprint]])</f>
        <v>19</v>
      </c>
      <c r="B19" s="31" t="s">
        <v>123</v>
      </c>
      <c r="C19" s="32">
        <v>1</v>
      </c>
      <c r="D19" s="30" t="s">
        <v>69</v>
      </c>
      <c r="G19">
        <f>Table2[[#This Row],[Quantity]]*$M$3</f>
        <v>8</v>
      </c>
      <c r="H19">
        <v>25</v>
      </c>
      <c r="I19" s="41">
        <f>IF(Table2[[#This Row],[Total]]-Table2[[#This Row],[Personal Stock]]&lt;=0,0,Table2[[#This Row],[Total]]-Table2[[#This Row],[Personal Stock]])</f>
        <v>0</v>
      </c>
    </row>
    <row r="20" spans="1:10" ht="15" thickBot="1" x14ac:dyDescent="0.35">
      <c r="A20" s="42">
        <f>ROW(Table2[[#This Row],[Footprint]])</f>
        <v>20</v>
      </c>
      <c r="B20" s="43" t="s">
        <v>123</v>
      </c>
      <c r="C20" s="44">
        <v>1</v>
      </c>
      <c r="D20" s="45" t="s">
        <v>70</v>
      </c>
      <c r="E20" s="45" t="s">
        <v>143</v>
      </c>
      <c r="F20" s="45"/>
      <c r="G20" s="46">
        <f>Table2[[#This Row],[Quantity]]*$M$3</f>
        <v>8</v>
      </c>
      <c r="H20" s="46">
        <v>20</v>
      </c>
      <c r="I20" s="47">
        <f>IF(Table2[[#This Row],[Total]]-Table2[[#This Row],[Personal Stock]]&lt;=0,0,Table2[[#This Row],[Total]]-Table2[[#This Row],[Personal Stock]])</f>
        <v>0</v>
      </c>
    </row>
    <row r="21" spans="1:10" x14ac:dyDescent="0.3">
      <c r="A21" s="34">
        <f>ROW(Table2[[#This Row],[Footprint]])</f>
        <v>21</v>
      </c>
      <c r="B21" s="35" t="s">
        <v>124</v>
      </c>
      <c r="C21" s="36">
        <v>4</v>
      </c>
      <c r="D21" s="37" t="s">
        <v>71</v>
      </c>
      <c r="E21" s="37"/>
      <c r="F21" s="37"/>
      <c r="G21" s="38">
        <f>Table2[[#This Row],[Quantity]]*$M$3</f>
        <v>32</v>
      </c>
      <c r="H21" s="38">
        <v>100</v>
      </c>
      <c r="I21" s="39">
        <f>IF(Table2[[#This Row],[Total]]-Table2[[#This Row],[Personal Stock]]&lt;=0,0,Table2[[#This Row],[Total]]-Table2[[#This Row],[Personal Stock]])</f>
        <v>0</v>
      </c>
    </row>
    <row r="22" spans="1:10" x14ac:dyDescent="0.3">
      <c r="A22" s="40">
        <f>ROW(Table2[[#This Row],[Footprint]])</f>
        <v>22</v>
      </c>
      <c r="B22" s="31" t="s">
        <v>124</v>
      </c>
      <c r="C22" s="32">
        <v>2</v>
      </c>
      <c r="D22" s="30" t="s">
        <v>62</v>
      </c>
      <c r="G22">
        <f>Table2[[#This Row],[Quantity]]*$M$3</f>
        <v>16</v>
      </c>
      <c r="H22">
        <v>30</v>
      </c>
      <c r="I22" s="41">
        <f>IF(Table2[[#This Row],[Total]]-Table2[[#This Row],[Personal Stock]]&lt;=0,0,Table2[[#This Row],[Total]]-Table2[[#This Row],[Personal Stock]])</f>
        <v>0</v>
      </c>
    </row>
    <row r="23" spans="1:10" x14ac:dyDescent="0.3">
      <c r="A23" s="40">
        <f>ROW(Table2[[#This Row],[Footprint]])</f>
        <v>23</v>
      </c>
      <c r="B23" s="31" t="s">
        <v>124</v>
      </c>
      <c r="C23" s="32">
        <v>1</v>
      </c>
      <c r="D23" s="30" t="s">
        <v>72</v>
      </c>
      <c r="G23">
        <f>Table2[[#This Row],[Quantity]]*$M$3</f>
        <v>8</v>
      </c>
      <c r="H23">
        <v>20</v>
      </c>
      <c r="I23" s="41">
        <f>IF(Table2[[#This Row],[Total]]-Table2[[#This Row],[Personal Stock]]&lt;=0,0,Table2[[#This Row],[Total]]-Table2[[#This Row],[Personal Stock]])</f>
        <v>0</v>
      </c>
    </row>
    <row r="24" spans="1:10" x14ac:dyDescent="0.3">
      <c r="A24" s="40">
        <f>ROW(Table2[[#This Row],[Footprint]])</f>
        <v>24</v>
      </c>
      <c r="B24" s="31" t="s">
        <v>124</v>
      </c>
      <c r="C24" s="32">
        <v>2</v>
      </c>
      <c r="D24" s="30" t="s">
        <v>73</v>
      </c>
      <c r="G24">
        <f>Table2[[#This Row],[Quantity]]*$M$3</f>
        <v>16</v>
      </c>
      <c r="H24">
        <v>30</v>
      </c>
      <c r="I24" s="41">
        <f>IF(Table2[[#This Row],[Total]]-Table2[[#This Row],[Personal Stock]]&lt;=0,0,Table2[[#This Row],[Total]]-Table2[[#This Row],[Personal Stock]])</f>
        <v>0</v>
      </c>
    </row>
    <row r="25" spans="1:10" x14ac:dyDescent="0.3">
      <c r="A25" s="40">
        <f>ROW(Table2[[#This Row],[Footprint]])</f>
        <v>25</v>
      </c>
      <c r="B25" s="31" t="s">
        <v>124</v>
      </c>
      <c r="C25" s="32">
        <v>4</v>
      </c>
      <c r="D25" s="30" t="s">
        <v>74</v>
      </c>
      <c r="E25" s="30" t="s">
        <v>140</v>
      </c>
      <c r="F25" s="30" t="s">
        <v>136</v>
      </c>
      <c r="G25">
        <f>Table2[[#This Row],[Quantity]]*$M$3</f>
        <v>32</v>
      </c>
      <c r="H25">
        <v>50</v>
      </c>
      <c r="I25" s="41">
        <f>IF(Table2[[#This Row],[Total]]-Table2[[#This Row],[Personal Stock]]&lt;=0,0,Table2[[#This Row],[Total]]-Table2[[#This Row],[Personal Stock]])</f>
        <v>0</v>
      </c>
    </row>
    <row r="26" spans="1:10" x14ac:dyDescent="0.3">
      <c r="A26" s="40">
        <f>ROW(Table2[[#This Row],[Footprint]])</f>
        <v>26</v>
      </c>
      <c r="B26" s="31" t="s">
        <v>124</v>
      </c>
      <c r="C26" s="32">
        <v>6</v>
      </c>
      <c r="D26" s="30" t="s">
        <v>75</v>
      </c>
      <c r="G26">
        <f>Table2[[#This Row],[Quantity]]*M6</f>
        <v>0</v>
      </c>
      <c r="H26">
        <v>25</v>
      </c>
      <c r="I26" s="41">
        <f>IF(Table2[[#This Row],[Total]]-Table2[[#This Row],[Personal Stock]]&lt;=0,0,Table2[[#This Row],[Total]]-Table2[[#This Row],[Personal Stock]])</f>
        <v>0</v>
      </c>
    </row>
    <row r="27" spans="1:10" x14ac:dyDescent="0.3">
      <c r="A27" s="40">
        <f>ROW(Table2[[#This Row],[Footprint]])</f>
        <v>27</v>
      </c>
      <c r="B27" s="31" t="s">
        <v>124</v>
      </c>
      <c r="C27" s="32">
        <v>6</v>
      </c>
      <c r="D27" s="30" t="s">
        <v>76</v>
      </c>
      <c r="G27">
        <f>Table2[[#This Row],[Quantity]]*($M$3-M6)</f>
        <v>48</v>
      </c>
      <c r="H27">
        <v>50</v>
      </c>
      <c r="I27" s="41">
        <f>IF(Table2[[#This Row],[Total]]-Table2[[#This Row],[Personal Stock]]&lt;=0,0,Table2[[#This Row],[Total]]-Table2[[#This Row],[Personal Stock]])</f>
        <v>0</v>
      </c>
    </row>
    <row r="28" spans="1:10" x14ac:dyDescent="0.3">
      <c r="A28" s="40">
        <f>ROW(Table2[[#This Row],[Footprint]])</f>
        <v>28</v>
      </c>
      <c r="B28" s="31" t="s">
        <v>124</v>
      </c>
      <c r="C28" s="32">
        <v>1</v>
      </c>
      <c r="D28" s="30" t="s">
        <v>77</v>
      </c>
      <c r="E28" s="30" t="s">
        <v>152</v>
      </c>
      <c r="G28">
        <f>Table2[[#This Row],[Quantity]]*$M$3</f>
        <v>8</v>
      </c>
      <c r="H28">
        <v>0</v>
      </c>
      <c r="I28" s="41">
        <f>IF(Table2[[#This Row],[Total]]-Table2[[#This Row],[Personal Stock]]&lt;=0,0,Table2[[#This Row],[Total]]-Table2[[#This Row],[Personal Stock]])</f>
        <v>8</v>
      </c>
      <c r="J28" t="s">
        <v>19</v>
      </c>
    </row>
    <row r="29" spans="1:10" x14ac:dyDescent="0.3">
      <c r="A29" s="40">
        <f>ROW(Table2[[#This Row],[Footprint]])</f>
        <v>29</v>
      </c>
      <c r="B29" s="31" t="s">
        <v>124</v>
      </c>
      <c r="C29" s="32">
        <v>2</v>
      </c>
      <c r="D29" s="30">
        <v>56</v>
      </c>
      <c r="G29">
        <f>Table2[[#This Row],[Quantity]]*$M$3</f>
        <v>16</v>
      </c>
      <c r="H29">
        <v>30</v>
      </c>
      <c r="I29" s="41">
        <f>IF(Table2[[#This Row],[Total]]-Table2[[#This Row],[Personal Stock]]&lt;=0,0,Table2[[#This Row],[Total]]-Table2[[#This Row],[Personal Stock]])</f>
        <v>0</v>
      </c>
    </row>
    <row r="30" spans="1:10" x14ac:dyDescent="0.3">
      <c r="A30" s="40">
        <f>ROW(Table2[[#This Row],[Footprint]])</f>
        <v>30</v>
      </c>
      <c r="B30" s="31" t="s">
        <v>124</v>
      </c>
      <c r="C30" s="32">
        <v>1</v>
      </c>
      <c r="D30" s="30" t="s">
        <v>141</v>
      </c>
      <c r="G30">
        <f>Table2[[#This Row],[Quantity]]*$M$3</f>
        <v>8</v>
      </c>
      <c r="H30">
        <v>20</v>
      </c>
      <c r="I30" s="41">
        <f>IF(Table2[[#This Row],[Total]]-Table2[[#This Row],[Personal Stock]]&lt;=0,0,Table2[[#This Row],[Total]]-Table2[[#This Row],[Personal Stock]])</f>
        <v>0</v>
      </c>
    </row>
    <row r="31" spans="1:10" x14ac:dyDescent="0.3">
      <c r="A31" s="40">
        <f>ROW(Table2[[#This Row],[Footprint]])</f>
        <v>31</v>
      </c>
      <c r="B31" s="31" t="s">
        <v>124</v>
      </c>
      <c r="C31" s="32">
        <v>4</v>
      </c>
      <c r="D31" s="30" t="s">
        <v>79</v>
      </c>
      <c r="E31" s="30" t="s">
        <v>143</v>
      </c>
      <c r="F31" s="30" t="s">
        <v>142</v>
      </c>
      <c r="G31">
        <f>Table2[[#This Row],[Quantity]]*$M$3</f>
        <v>32</v>
      </c>
      <c r="H31">
        <v>50</v>
      </c>
      <c r="I31" s="41">
        <f>IF(Table2[[#This Row],[Total]]-Table2[[#This Row],[Personal Stock]]&lt;=0,0,Table2[[#This Row],[Total]]-Table2[[#This Row],[Personal Stock]])</f>
        <v>0</v>
      </c>
    </row>
    <row r="32" spans="1:10" x14ac:dyDescent="0.3">
      <c r="A32" s="40">
        <f>ROW(Table2[[#This Row],[Footprint]])</f>
        <v>32</v>
      </c>
      <c r="B32" s="31" t="s">
        <v>124</v>
      </c>
      <c r="C32" s="32">
        <v>1</v>
      </c>
      <c r="D32" s="30" t="s">
        <v>139</v>
      </c>
      <c r="G32">
        <f>Table2[[#This Row],[Quantity]]*$M$3</f>
        <v>8</v>
      </c>
      <c r="H32">
        <v>30</v>
      </c>
      <c r="I32" s="41">
        <f>IF(Table2[[#This Row],[Total]]-Table2[[#This Row],[Personal Stock]]&lt;=0,0,Table2[[#This Row],[Total]]-Table2[[#This Row],[Personal Stock]])</f>
        <v>0</v>
      </c>
    </row>
    <row r="33" spans="1:10" x14ac:dyDescent="0.3">
      <c r="A33" s="40">
        <f>ROW(Table2[[#This Row],[Footprint]])</f>
        <v>33</v>
      </c>
      <c r="B33" s="31" t="s">
        <v>124</v>
      </c>
      <c r="C33" s="32">
        <v>1</v>
      </c>
      <c r="D33" s="30">
        <v>1100</v>
      </c>
      <c r="G33">
        <f>Table2[[#This Row],[Quantity]]*$M$3</f>
        <v>8</v>
      </c>
      <c r="H33">
        <v>20</v>
      </c>
      <c r="I33" s="41">
        <f>IF(Table2[[#This Row],[Total]]-Table2[[#This Row],[Personal Stock]]&lt;=0,0,Table2[[#This Row],[Total]]-Table2[[#This Row],[Personal Stock]])</f>
        <v>0</v>
      </c>
    </row>
    <row r="34" spans="1:10" x14ac:dyDescent="0.3">
      <c r="A34" s="40">
        <f>ROW(Table2[[#This Row],[Footprint]])</f>
        <v>34</v>
      </c>
      <c r="B34" s="31" t="s">
        <v>124</v>
      </c>
      <c r="C34" s="32">
        <v>1</v>
      </c>
      <c r="D34" s="30" t="s">
        <v>64</v>
      </c>
      <c r="G34">
        <f>Table2[[#This Row],[Quantity]]*$M$3</f>
        <v>8</v>
      </c>
      <c r="H34">
        <v>35</v>
      </c>
      <c r="I34" s="41">
        <f>IF(Table2[[#This Row],[Total]]-Table2[[#This Row],[Personal Stock]]&lt;=0,0,Table2[[#This Row],[Total]]-Table2[[#This Row],[Personal Stock]])</f>
        <v>0</v>
      </c>
    </row>
    <row r="35" spans="1:10" ht="15" thickBot="1" x14ac:dyDescent="0.35">
      <c r="A35" s="42">
        <f>ROW(Table2[[#This Row],[Footprint]])</f>
        <v>35</v>
      </c>
      <c r="B35" s="43" t="s">
        <v>124</v>
      </c>
      <c r="C35" s="44">
        <v>1</v>
      </c>
      <c r="D35" s="45" t="s">
        <v>55</v>
      </c>
      <c r="E35" s="45"/>
      <c r="F35" s="45"/>
      <c r="G35" s="46">
        <f>Table2[[#This Row],[Quantity]]*$M$3</f>
        <v>8</v>
      </c>
      <c r="H35" s="46">
        <v>16</v>
      </c>
      <c r="I35" s="47">
        <f>IF(Table2[[#This Row],[Total]]-Table2[[#This Row],[Personal Stock]]&lt;=0,0,Table2[[#This Row],[Total]]-Table2[[#This Row],[Personal Stock]])</f>
        <v>0</v>
      </c>
    </row>
    <row r="36" spans="1:10" x14ac:dyDescent="0.3">
      <c r="A36" s="32">
        <f>ROW(Table2[[#This Row],[Footprint]])</f>
        <v>36</v>
      </c>
      <c r="B36" s="31" t="s">
        <v>125</v>
      </c>
      <c r="C36" s="32">
        <v>1</v>
      </c>
      <c r="D36" s="30" t="s">
        <v>78</v>
      </c>
      <c r="G36">
        <f>Table2[[#This Row],[Quantity]]*$M$3</f>
        <v>8</v>
      </c>
      <c r="H36">
        <v>5</v>
      </c>
      <c r="I36">
        <f>IF(Table2[[#This Row],[Total]]-Table2[[#This Row],[Personal Stock]]&lt;=0,0,Table2[[#This Row],[Total]]-Table2[[#This Row],[Personal Stock]])</f>
        <v>3</v>
      </c>
      <c r="J36" t="s">
        <v>19</v>
      </c>
    </row>
    <row r="37" spans="1:10" x14ac:dyDescent="0.3">
      <c r="A37" s="32">
        <f>ROW(Table2[[#This Row],[Footprint]])</f>
        <v>37</v>
      </c>
      <c r="B37" s="31" t="s">
        <v>125</v>
      </c>
      <c r="C37" s="32">
        <v>3</v>
      </c>
      <c r="D37" s="30" t="s">
        <v>59</v>
      </c>
      <c r="G37">
        <f>Table2[[#This Row],[Quantity]]*$M$3</f>
        <v>24</v>
      </c>
      <c r="H37">
        <v>0</v>
      </c>
      <c r="I37">
        <f>IF(Table2[[#This Row],[Total]]-Table2[[#This Row],[Personal Stock]]&lt;=0,0,Table2[[#This Row],[Total]]-Table2[[#This Row],[Personal Stock]])</f>
        <v>24</v>
      </c>
      <c r="J37" t="s">
        <v>19</v>
      </c>
    </row>
    <row r="38" spans="1:10" x14ac:dyDescent="0.3">
      <c r="A38" s="32">
        <f>ROW(Table2[[#This Row],[Footprint]])</f>
        <v>38</v>
      </c>
      <c r="B38" s="31" t="s">
        <v>125</v>
      </c>
      <c r="C38" s="32">
        <v>1</v>
      </c>
      <c r="D38" s="30" t="s">
        <v>80</v>
      </c>
      <c r="G38">
        <f>Table2[[#This Row],[Quantity]]*$M$3</f>
        <v>8</v>
      </c>
      <c r="H38">
        <v>0</v>
      </c>
      <c r="I38">
        <f>IF(Table2[[#This Row],[Total]]-Table2[[#This Row],[Personal Stock]]&lt;=0,0,Table2[[#This Row],[Total]]-Table2[[#This Row],[Personal Stock]])</f>
        <v>8</v>
      </c>
      <c r="J38" t="s">
        <v>19</v>
      </c>
    </row>
    <row r="39" spans="1:10" x14ac:dyDescent="0.3">
      <c r="A39" s="32">
        <f>ROW(Table2[[#This Row],[Footprint]])</f>
        <v>39</v>
      </c>
      <c r="B39" s="31" t="s">
        <v>125</v>
      </c>
      <c r="C39" s="32">
        <v>2</v>
      </c>
      <c r="D39" s="30" t="s">
        <v>77</v>
      </c>
      <c r="G39">
        <f>Table2[[#This Row],[Quantity]]*$M$3</f>
        <v>16</v>
      </c>
      <c r="H39">
        <v>0</v>
      </c>
      <c r="I39">
        <f>IF(Table2[[#This Row],[Total]]-Table2[[#This Row],[Personal Stock]]&lt;=0,0,Table2[[#This Row],[Total]]-Table2[[#This Row],[Personal Stock]])</f>
        <v>16</v>
      </c>
      <c r="J39" t="s">
        <v>19</v>
      </c>
    </row>
    <row r="40" spans="1:10" x14ac:dyDescent="0.3">
      <c r="A40" s="32">
        <f>ROW(Table2[[#This Row],[Footprint]])</f>
        <v>40</v>
      </c>
      <c r="B40" s="31" t="s">
        <v>125</v>
      </c>
      <c r="C40" s="32">
        <v>1</v>
      </c>
      <c r="D40" s="30" t="s">
        <v>81</v>
      </c>
      <c r="E40" s="30" t="s">
        <v>140</v>
      </c>
      <c r="F40" s="30" t="s">
        <v>144</v>
      </c>
      <c r="G40">
        <f>Table2[[#This Row],[Quantity]]*$M$3</f>
        <v>8</v>
      </c>
      <c r="H40">
        <v>15</v>
      </c>
      <c r="I40">
        <f>IF(Table2[[#This Row],[Total]]-Table2[[#This Row],[Personal Stock]]&lt;=0,0,Table2[[#This Row],[Total]]-Table2[[#This Row],[Personal Stock]])</f>
        <v>0</v>
      </c>
      <c r="J40" t="s">
        <v>19</v>
      </c>
    </row>
    <row r="41" spans="1:10" x14ac:dyDescent="0.3">
      <c r="A41" s="32">
        <f>ROW(Table2[[#This Row],[Footprint]])</f>
        <v>41</v>
      </c>
      <c r="B41" s="31" t="s">
        <v>125</v>
      </c>
      <c r="C41" s="32">
        <v>10</v>
      </c>
      <c r="D41" s="30" t="s">
        <v>82</v>
      </c>
      <c r="G41">
        <f>Table2[[#This Row],[Quantity]]*$M$3</f>
        <v>80</v>
      </c>
      <c r="H41">
        <v>0</v>
      </c>
      <c r="I41">
        <f>IF(Table2[[#This Row],[Total]]-Table2[[#This Row],[Personal Stock]]&lt;=0,0,Table2[[#This Row],[Total]]-Table2[[#This Row],[Personal Stock]])</f>
        <v>80</v>
      </c>
      <c r="J41" t="s">
        <v>19</v>
      </c>
    </row>
    <row r="42" spans="1:10" x14ac:dyDescent="0.3">
      <c r="A42" s="32">
        <f>ROW(Table2[[#This Row],[Footprint]])</f>
        <v>42</v>
      </c>
      <c r="B42" s="31" t="s">
        <v>125</v>
      </c>
      <c r="C42" s="32">
        <v>3</v>
      </c>
      <c r="D42" s="30" t="s">
        <v>77</v>
      </c>
      <c r="G42">
        <f>Table2[[#This Row],[Quantity]]*$M$3</f>
        <v>24</v>
      </c>
      <c r="H42">
        <v>0</v>
      </c>
      <c r="I42">
        <f>IF(Table2[[#This Row],[Total]]-Table2[[#This Row],[Personal Stock]]&lt;=0,0,Table2[[#This Row],[Total]]-Table2[[#This Row],[Personal Stock]])</f>
        <v>24</v>
      </c>
      <c r="J42" t="s">
        <v>19</v>
      </c>
    </row>
    <row r="43" spans="1:10" x14ac:dyDescent="0.3">
      <c r="A43" s="32">
        <f>ROW(Table2[[#This Row],[Footprint]])</f>
        <v>43</v>
      </c>
      <c r="B43" s="31" t="s">
        <v>132</v>
      </c>
      <c r="C43" s="32">
        <v>1</v>
      </c>
      <c r="D43" s="30" t="s">
        <v>84</v>
      </c>
      <c r="G43">
        <f>Table2[[#This Row],[Quantity]]*$M$3</f>
        <v>8</v>
      </c>
      <c r="H43">
        <v>0</v>
      </c>
      <c r="I43">
        <f>IF(Table2[[#This Row],[Total]]-Table2[[#This Row],[Personal Stock]]&lt;=0,0,Table2[[#This Row],[Total]]-Table2[[#This Row],[Personal Stock]])</f>
        <v>8</v>
      </c>
      <c r="J43" t="s">
        <v>133</v>
      </c>
    </row>
    <row r="44" spans="1:10" x14ac:dyDescent="0.3">
      <c r="A44" s="32">
        <f>ROW(Table2[[#This Row],[Footprint]])</f>
        <v>44</v>
      </c>
      <c r="B44" s="31" t="s">
        <v>85</v>
      </c>
      <c r="C44" s="32">
        <v>1</v>
      </c>
      <c r="D44" s="30" t="s">
        <v>86</v>
      </c>
      <c r="G44">
        <f>Table2[[#This Row],[Quantity]]*M5</f>
        <v>2</v>
      </c>
      <c r="H44">
        <v>0</v>
      </c>
      <c r="I44">
        <f>IF(Table2[[#This Row],[Total]]-Table2[[#This Row],[Personal Stock]]&lt;=0,0,Table2[[#This Row],[Total]]-Table2[[#This Row],[Personal Stock]])</f>
        <v>2</v>
      </c>
      <c r="J44" t="s">
        <v>19</v>
      </c>
    </row>
    <row r="45" spans="1:10" x14ac:dyDescent="0.3">
      <c r="A45" s="32">
        <f>ROW(Table2[[#This Row],[Footprint]])</f>
        <v>45</v>
      </c>
      <c r="B45" s="31" t="s">
        <v>85</v>
      </c>
      <c r="C45" s="32">
        <v>1</v>
      </c>
      <c r="D45" s="30" t="s">
        <v>87</v>
      </c>
      <c r="G45">
        <f>Table2[[#This Row],[Quantity]]*($M$3-M5)</f>
        <v>6</v>
      </c>
      <c r="H45">
        <v>10</v>
      </c>
      <c r="I45">
        <f>IF(Table2[[#This Row],[Total]]-Table2[[#This Row],[Personal Stock]]&lt;=0,0,Table2[[#This Row],[Total]]-Table2[[#This Row],[Personal Stock]])</f>
        <v>0</v>
      </c>
    </row>
    <row r="46" spans="1:10" x14ac:dyDescent="0.3">
      <c r="A46" s="32">
        <f>ROW(Table2[[#This Row],[Footprint]])</f>
        <v>46</v>
      </c>
      <c r="B46" s="31" t="s">
        <v>88</v>
      </c>
      <c r="C46" s="32">
        <v>1</v>
      </c>
      <c r="D46" s="30" t="s">
        <v>131</v>
      </c>
      <c r="G46">
        <f>Table2[[#This Row],[Quantity]]*$M$3</f>
        <v>8</v>
      </c>
      <c r="H46">
        <v>50</v>
      </c>
      <c r="I46">
        <f>IF(Table2[[#This Row],[Total]]-Table2[[#This Row],[Personal Stock]]&lt;=0,0,Table2[[#This Row],[Total]]-Table2[[#This Row],[Personal Stock]])</f>
        <v>0</v>
      </c>
    </row>
    <row r="47" spans="1:10" x14ac:dyDescent="0.3">
      <c r="A47" s="32">
        <f>ROW(Table2[[#This Row],[Footprint]])</f>
        <v>47</v>
      </c>
      <c r="B47" s="31" t="s">
        <v>89</v>
      </c>
      <c r="C47" s="32">
        <v>1</v>
      </c>
      <c r="D47" s="30" t="s">
        <v>90</v>
      </c>
      <c r="G47">
        <f>Table2[[#This Row],[Quantity]]*$M$3</f>
        <v>8</v>
      </c>
      <c r="H47">
        <v>3</v>
      </c>
      <c r="I47">
        <f>IF(Table2[[#This Row],[Total]]-Table2[[#This Row],[Personal Stock]]&lt;=0,0,Table2[[#This Row],[Total]]-Table2[[#This Row],[Personal Stock]])</f>
        <v>5</v>
      </c>
    </row>
    <row r="48" spans="1:10" x14ac:dyDescent="0.3">
      <c r="A48" s="32">
        <f>ROW(Table2[[#This Row],[Footprint]])</f>
        <v>48</v>
      </c>
      <c r="B48" s="31" t="s">
        <v>91</v>
      </c>
      <c r="C48" s="32">
        <v>1</v>
      </c>
      <c r="D48" s="30" t="s">
        <v>92</v>
      </c>
      <c r="G48">
        <f>Table2[[#This Row],[Quantity]]*$M$3</f>
        <v>8</v>
      </c>
      <c r="H48">
        <v>3</v>
      </c>
      <c r="I48">
        <f>IF(Table2[[#This Row],[Total]]-Table2[[#This Row],[Personal Stock]]&lt;=0,0,Table2[[#This Row],[Total]]-Table2[[#This Row],[Personal Stock]])</f>
        <v>5</v>
      </c>
    </row>
    <row r="49" spans="1:10" x14ac:dyDescent="0.3">
      <c r="A49" s="32">
        <f>ROW(Table2[[#This Row],[Footprint]])</f>
        <v>49</v>
      </c>
      <c r="B49" s="31" t="s">
        <v>146</v>
      </c>
      <c r="C49" s="32">
        <v>1</v>
      </c>
      <c r="D49" s="30">
        <v>603</v>
      </c>
      <c r="G49">
        <f>Table2[[#This Row],[Quantity]]*$M$3</f>
        <v>8</v>
      </c>
      <c r="H49">
        <v>0</v>
      </c>
      <c r="I49">
        <f>IF(Table2[[#This Row],[Total]]-Table2[[#This Row],[Personal Stock]]&lt;=0,0,Table2[[#This Row],[Total]]-Table2[[#This Row],[Personal Stock]])</f>
        <v>8</v>
      </c>
      <c r="J49" t="s">
        <v>149</v>
      </c>
    </row>
    <row r="50" spans="1:10" x14ac:dyDescent="0.3">
      <c r="A50" s="32">
        <f>ROW(Table2[[#This Row],[Footprint]])</f>
        <v>50</v>
      </c>
      <c r="B50" s="31" t="s">
        <v>147</v>
      </c>
      <c r="C50" s="32">
        <v>2</v>
      </c>
      <c r="D50" s="30" t="s">
        <v>148</v>
      </c>
      <c r="G50">
        <v>12</v>
      </c>
      <c r="H50">
        <v>14</v>
      </c>
      <c r="I50">
        <f>IF(Table2[[#This Row],[Total]]-Table2[[#This Row],[Personal Stock]]&lt;=0,0,Table2[[#This Row],[Total]]-Table2[[#This Row],[Personal Stock]])</f>
        <v>0</v>
      </c>
    </row>
    <row r="51" spans="1:10" x14ac:dyDescent="0.3">
      <c r="A51" s="32">
        <f>ROW(Table2[[#This Row],[Footprint]])</f>
        <v>51</v>
      </c>
      <c r="B51" s="31" t="s">
        <v>93</v>
      </c>
      <c r="C51" s="32">
        <v>1</v>
      </c>
      <c r="D51" s="30" t="s">
        <v>94</v>
      </c>
      <c r="G51">
        <f>Table2[[#This Row],[Quantity]]*$M$3</f>
        <v>8</v>
      </c>
      <c r="H51">
        <v>50</v>
      </c>
      <c r="I51">
        <f>IF(Table2[[#This Row],[Total]]-Table2[[#This Row],[Personal Stock]]&lt;=0,0,Table2[[#This Row],[Total]]-Table2[[#This Row],[Personal Stock]])</f>
        <v>0</v>
      </c>
    </row>
    <row r="52" spans="1:10" x14ac:dyDescent="0.3">
      <c r="A52" s="32">
        <f>ROW(Table2[[#This Row],[Footprint]])</f>
        <v>52</v>
      </c>
      <c r="B52" s="31" t="s">
        <v>93</v>
      </c>
      <c r="C52" s="32">
        <v>1</v>
      </c>
      <c r="D52" s="30" t="s">
        <v>95</v>
      </c>
      <c r="G52">
        <f>Table2[[#This Row],[Quantity]]*$M$3</f>
        <v>8</v>
      </c>
      <c r="H52">
        <v>50</v>
      </c>
      <c r="I52">
        <f>IF(Table2[[#This Row],[Total]]-Table2[[#This Row],[Personal Stock]]&lt;=0,0,Table2[[#This Row],[Total]]-Table2[[#This Row],[Personal Stock]])</f>
        <v>0</v>
      </c>
    </row>
    <row r="53" spans="1:10" x14ac:dyDescent="0.3">
      <c r="A53" s="32">
        <f>ROW(Table2[[#This Row],[Footprint]])</f>
        <v>53</v>
      </c>
      <c r="B53" s="31" t="s">
        <v>96</v>
      </c>
      <c r="C53" s="32">
        <v>1</v>
      </c>
      <c r="D53" s="30" t="s">
        <v>130</v>
      </c>
      <c r="G53">
        <v>2</v>
      </c>
      <c r="H53">
        <v>4</v>
      </c>
      <c r="I53">
        <f>IF(Table2[[#This Row],[Total]]-Table2[[#This Row],[Personal Stock]]&lt;=0,0,Table2[[#This Row],[Total]]-Table2[[#This Row],[Personal Stock]])</f>
        <v>0</v>
      </c>
    </row>
    <row r="54" spans="1:10" x14ac:dyDescent="0.3">
      <c r="A54" s="32">
        <f>ROW(Table2[[#This Row],[Footprint]])</f>
        <v>54</v>
      </c>
      <c r="B54" s="31" t="s">
        <v>96</v>
      </c>
      <c r="C54" s="32">
        <v>1</v>
      </c>
      <c r="D54" s="30" t="s">
        <v>97</v>
      </c>
      <c r="G54">
        <f>Table2[[#This Row],[Quantity]]*M6</f>
        <v>0</v>
      </c>
      <c r="H54">
        <v>4</v>
      </c>
      <c r="I54">
        <f>IF(Table2[[#This Row],[Total]]-Table2[[#This Row],[Personal Stock]]&lt;=0,0,Table2[[#This Row],[Total]]-Table2[[#This Row],[Personal Stock]])</f>
        <v>0</v>
      </c>
    </row>
    <row r="55" spans="1:10" x14ac:dyDescent="0.3">
      <c r="A55" s="32">
        <f>ROW(Table2[[#This Row],[Footprint]])</f>
        <v>55</v>
      </c>
      <c r="B55" s="31" t="s">
        <v>98</v>
      </c>
      <c r="C55" s="32">
        <v>6</v>
      </c>
      <c r="D55" s="30" t="s">
        <v>99</v>
      </c>
      <c r="G55">
        <f>Table2[[#This Row],[Quantity]]*$M$3</f>
        <v>48</v>
      </c>
      <c r="H55">
        <v>21</v>
      </c>
      <c r="I55">
        <f>IF(Table2[[#This Row],[Total]]-Table2[[#This Row],[Personal Stock]]&lt;=0,0,Table2[[#This Row],[Total]]-Table2[[#This Row],[Personal Stock]])</f>
        <v>27</v>
      </c>
    </row>
    <row r="56" spans="1:10" x14ac:dyDescent="0.3">
      <c r="A56" s="32">
        <f>ROW(Table2[[#This Row],[Footprint]])</f>
        <v>56</v>
      </c>
      <c r="B56" s="31" t="s">
        <v>119</v>
      </c>
      <c r="C56" s="32">
        <v>1</v>
      </c>
      <c r="D56" s="30" t="s">
        <v>120</v>
      </c>
      <c r="G56">
        <f>Table2[[#This Row],[Quantity]]*$M$3</f>
        <v>8</v>
      </c>
      <c r="H56">
        <v>0</v>
      </c>
      <c r="I56">
        <f>IF(Table2[[#This Row],[Total]]-Table2[[#This Row],[Personal Stock]]&lt;=0,0,Table2[[#This Row],[Total]]-Table2[[#This Row],[Personal Stock]])</f>
        <v>8</v>
      </c>
    </row>
    <row r="57" spans="1:10" x14ac:dyDescent="0.3">
      <c r="A57" s="32">
        <f>ROW(Table2[[#This Row],[Footprint]])</f>
        <v>57</v>
      </c>
      <c r="B57" s="31" t="s">
        <v>100</v>
      </c>
      <c r="C57" s="32">
        <v>1</v>
      </c>
      <c r="D57" s="30" t="s">
        <v>101</v>
      </c>
      <c r="G57">
        <f>Table2[[#This Row],[Quantity]]*M7</f>
        <v>0</v>
      </c>
      <c r="H57">
        <v>0</v>
      </c>
      <c r="I57">
        <f>IF(Table2[[#This Row],[Total]]-Table2[[#This Row],[Personal Stock]]&lt;=0,0,Table2[[#This Row],[Total]]-Table2[[#This Row],[Personal Stock]])</f>
        <v>0</v>
      </c>
    </row>
    <row r="58" spans="1:10" x14ac:dyDescent="0.3">
      <c r="A58" s="32">
        <f>ROW(Table2[[#This Row],[Footprint]])</f>
        <v>58</v>
      </c>
      <c r="B58" s="31" t="s">
        <v>100</v>
      </c>
      <c r="C58" s="32">
        <v>1</v>
      </c>
      <c r="D58" s="30" t="s">
        <v>102</v>
      </c>
      <c r="G58">
        <f>Table2[[#This Row],[Quantity]]*($M$3-M7)</f>
        <v>8</v>
      </c>
      <c r="H58">
        <v>5</v>
      </c>
      <c r="I58">
        <f>IF(Table2[[#This Row],[Total]]-Table2[[#This Row],[Personal Stock]]&lt;=0,0,Table2[[#This Row],[Total]]-Table2[[#This Row],[Personal Stock]])</f>
        <v>3</v>
      </c>
    </row>
    <row r="59" spans="1:10" x14ac:dyDescent="0.3">
      <c r="A59" s="32">
        <f>ROW(Table2[[#This Row],[Footprint]])</f>
        <v>59</v>
      </c>
      <c r="B59" s="31" t="s">
        <v>103</v>
      </c>
      <c r="C59" s="32">
        <v>5</v>
      </c>
      <c r="D59" s="30" t="s">
        <v>104</v>
      </c>
      <c r="G59">
        <f>Table2[[#This Row],[Quantity]]*$M$3</f>
        <v>40</v>
      </c>
      <c r="H59">
        <v>100</v>
      </c>
      <c r="I59">
        <f>IF(Table2[[#This Row],[Total]]-Table2[[#This Row],[Personal Stock]]&lt;=0,0,Table2[[#This Row],[Total]]-Table2[[#This Row],[Personal Stock]])</f>
        <v>0</v>
      </c>
    </row>
    <row r="60" spans="1:10" x14ac:dyDescent="0.3">
      <c r="A60" s="32">
        <f>ROW(Table2[[#This Row],[Footprint]])</f>
        <v>60</v>
      </c>
      <c r="B60" s="31" t="s">
        <v>105</v>
      </c>
      <c r="C60" s="32">
        <v>1</v>
      </c>
      <c r="D60" s="30" t="s">
        <v>106</v>
      </c>
      <c r="G60">
        <f>Table2[[#This Row],[Quantity]]*$M$3</f>
        <v>8</v>
      </c>
      <c r="H60">
        <v>3</v>
      </c>
      <c r="I60">
        <f>IF(Table2[[#This Row],[Total]]-Table2[[#This Row],[Personal Stock]]&lt;=0,0,Table2[[#This Row],[Total]]-Table2[[#This Row],[Personal Stock]])</f>
        <v>5</v>
      </c>
    </row>
    <row r="61" spans="1:10" x14ac:dyDescent="0.3">
      <c r="A61" s="32">
        <f>ROW(Table2[[#This Row],[Footprint]])</f>
        <v>61</v>
      </c>
      <c r="B61" s="31" t="s">
        <v>107</v>
      </c>
      <c r="C61" s="32">
        <v>1</v>
      </c>
      <c r="D61" s="30" t="s">
        <v>108</v>
      </c>
      <c r="G61">
        <f>Table2[[#This Row],[Quantity]]*($M$3-M7)</f>
        <v>8</v>
      </c>
      <c r="H61">
        <v>3</v>
      </c>
      <c r="I61">
        <f>IF(Table2[[#This Row],[Total]]-Table2[[#This Row],[Personal Stock]]&lt;=0,0,Table2[[#This Row],[Total]]-Table2[[#This Row],[Personal Stock]])</f>
        <v>5</v>
      </c>
    </row>
    <row r="62" spans="1:10" x14ac:dyDescent="0.3">
      <c r="A62" s="32">
        <f>ROW(Table2[[#This Row],[Footprint]])</f>
        <v>62</v>
      </c>
      <c r="B62" s="31" t="s">
        <v>109</v>
      </c>
      <c r="C62" s="32">
        <v>1</v>
      </c>
      <c r="D62" s="30" t="s">
        <v>110</v>
      </c>
      <c r="G62">
        <f>Table2[[#This Row],[Quantity]]*$M$3</f>
        <v>8</v>
      </c>
      <c r="H62">
        <v>10</v>
      </c>
      <c r="I62">
        <f>IF(Table2[[#This Row],[Total]]-Table2[[#This Row],[Personal Stock]]&lt;=0,0,Table2[[#This Row],[Total]]-Table2[[#This Row],[Personal Stock]])</f>
        <v>0</v>
      </c>
    </row>
    <row r="63" spans="1:10" x14ac:dyDescent="0.3">
      <c r="A63" s="32">
        <f>ROW(Table2[[#This Row],[Footprint]])</f>
        <v>63</v>
      </c>
      <c r="B63" s="31" t="s">
        <v>111</v>
      </c>
      <c r="C63" s="32">
        <v>1</v>
      </c>
      <c r="D63" s="30" t="s">
        <v>112</v>
      </c>
      <c r="G63">
        <f>Table2[[#This Row],[Quantity]]*$M$3</f>
        <v>8</v>
      </c>
      <c r="H63">
        <v>20</v>
      </c>
      <c r="I63">
        <f>IF(Table2[[#This Row],[Total]]-Table2[[#This Row],[Personal Stock]]&lt;=0,0,Table2[[#This Row],[Total]]-Table2[[#This Row],[Personal Stock]])</f>
        <v>0</v>
      </c>
    </row>
    <row r="64" spans="1:10" x14ac:dyDescent="0.3">
      <c r="A64" s="32">
        <f>ROW(Table2[[#This Row],[Footprint]])</f>
        <v>64</v>
      </c>
      <c r="B64" s="31" t="s">
        <v>113</v>
      </c>
      <c r="C64" s="32">
        <v>2</v>
      </c>
      <c r="D64" s="30" t="s">
        <v>114</v>
      </c>
      <c r="G64">
        <f>Table2[[#This Row],[Quantity]]*$M$3</f>
        <v>16</v>
      </c>
      <c r="H64">
        <v>10</v>
      </c>
      <c r="I64">
        <f>IF(Table2[[#This Row],[Total]]-Table2[[#This Row],[Personal Stock]]&lt;=0,0,Table2[[#This Row],[Total]]-Table2[[#This Row],[Personal Stock]])</f>
        <v>6</v>
      </c>
      <c r="J64" t="s">
        <v>19</v>
      </c>
    </row>
    <row r="65" spans="1:9" x14ac:dyDescent="0.3">
      <c r="A65" s="32">
        <f>ROW(Table2[[#This Row],[Footprint]])</f>
        <v>65</v>
      </c>
      <c r="B65" s="31" t="s">
        <v>115</v>
      </c>
      <c r="C65" s="32">
        <v>1</v>
      </c>
      <c r="D65" s="30" t="s">
        <v>116</v>
      </c>
      <c r="G65">
        <f>Table2[[#This Row],[Quantity]]*$M$3</f>
        <v>8</v>
      </c>
      <c r="H65">
        <v>10</v>
      </c>
      <c r="I65">
        <f>IF(Table2[[#This Row],[Total]]-Table2[[#This Row],[Personal Stock]]&lt;=0,0,Table2[[#This Row],[Total]]-Table2[[#This Row],[Personal Stock]])</f>
        <v>0</v>
      </c>
    </row>
    <row r="66" spans="1:9" x14ac:dyDescent="0.3">
      <c r="A66" s="32">
        <f>ROW(Table2[[#This Row],[Footprint]])</f>
        <v>66</v>
      </c>
      <c r="B66" s="31" t="s">
        <v>117</v>
      </c>
      <c r="C66" s="32">
        <v>1</v>
      </c>
      <c r="D66" s="30" t="s">
        <v>118</v>
      </c>
      <c r="G66">
        <v>2</v>
      </c>
      <c r="H66">
        <v>3</v>
      </c>
      <c r="I66">
        <f>IF(Table2[[#This Row],[Total]]-Table2[[#This Row],[Personal Stock]]&lt;=0,0,Table2[[#This Row],[Total]]-Table2[[#This Row],[Personal Stock]])</f>
        <v>0</v>
      </c>
    </row>
    <row r="67" spans="1:9" x14ac:dyDescent="0.3">
      <c r="A67" s="32">
        <f>ROW(Table2[[#This Row],[Footprint]])</f>
        <v>67</v>
      </c>
      <c r="B67" s="31" t="s">
        <v>121</v>
      </c>
      <c r="C67" s="32">
        <v>2</v>
      </c>
      <c r="D67" s="30" t="s">
        <v>128</v>
      </c>
      <c r="G67">
        <f>Table2[[#This Row],[Quantity]]*$M$3</f>
        <v>16</v>
      </c>
      <c r="H67">
        <v>8</v>
      </c>
      <c r="I67">
        <f>IF(Table2[[#This Row],[Total]]-Table2[[#This Row],[Personal Stock]]&lt;=0,0,Table2[[#This Row],[Total]]-Table2[[#This Row],[Personal Stock]])</f>
        <v>8</v>
      </c>
    </row>
    <row r="68" spans="1:9" x14ac:dyDescent="0.3">
      <c r="A68" s="32">
        <f>ROW(Table2[[#This Row],[Footprint]])</f>
        <v>68</v>
      </c>
      <c r="B68" s="31" t="s">
        <v>121</v>
      </c>
      <c r="C68" s="32">
        <v>2</v>
      </c>
      <c r="D68" s="30" t="s">
        <v>129</v>
      </c>
      <c r="G68">
        <f>Table2[[#This Row],[Quantity]]*$M$3</f>
        <v>16</v>
      </c>
      <c r="H68">
        <v>18</v>
      </c>
      <c r="I68">
        <f>IF(Table2[[#This Row],[Total]]-Table2[[#This Row],[Personal Stock]]&lt;=0,0,Table2[[#This Row],[Total]]-Table2[[#This Row],[Personal Stock]])</f>
        <v>0</v>
      </c>
    </row>
    <row r="69" spans="1:9" x14ac:dyDescent="0.3">
      <c r="A69" s="32">
        <f>ROW(Table2[[#This Row],[Footprint]])</f>
        <v>69</v>
      </c>
      <c r="B69" s="31" t="s">
        <v>150</v>
      </c>
      <c r="C69" s="32">
        <v>2</v>
      </c>
      <c r="D69" s="30" t="s">
        <v>129</v>
      </c>
      <c r="G69">
        <v>2</v>
      </c>
      <c r="H69">
        <v>2</v>
      </c>
      <c r="I69">
        <f>IF(Table2[[#This Row],[Total]]-Table2[[#This Row],[Personal Stock]]&lt;=0,0,Table2[[#This Row],[Total]]-Table2[[#This Row],[Personal Stock]])</f>
        <v>0</v>
      </c>
    </row>
    <row r="70" spans="1:9" x14ac:dyDescent="0.3">
      <c r="A70" s="32">
        <f>ROW(Table2[[#This Row],[Footprint]])</f>
        <v>70</v>
      </c>
      <c r="B70" s="31" t="s">
        <v>150</v>
      </c>
      <c r="C70" s="32">
        <v>2</v>
      </c>
      <c r="D70" s="30" t="s">
        <v>128</v>
      </c>
      <c r="G70">
        <v>2</v>
      </c>
      <c r="H70">
        <v>0</v>
      </c>
      <c r="I70">
        <f>IF(Table2[[#This Row],[Total]]-Table2[[#This Row],[Personal Stock]]&lt;=0,0,Table2[[#This Row],[Total]]-Table2[[#This Row],[Personal Stock]])</f>
        <v>2</v>
      </c>
    </row>
    <row r="71" spans="1:9" x14ac:dyDescent="0.3">
      <c r="A71" s="32">
        <f>ROW(Table2[[#This Row],[Footprint]])</f>
        <v>71</v>
      </c>
      <c r="B71" s="31" t="s">
        <v>153</v>
      </c>
      <c r="C71" s="32">
        <v>2</v>
      </c>
      <c r="D71" s="30" t="s">
        <v>154</v>
      </c>
      <c r="F71" s="30" t="s">
        <v>145</v>
      </c>
      <c r="G71">
        <f>Table2[[#This Row],[Quantity]]*M5</f>
        <v>4</v>
      </c>
      <c r="H71">
        <v>4</v>
      </c>
      <c r="I71">
        <f>IF(Table2[[#This Row],[Total]]-Table2[[#This Row],[Personal Stock]]&lt;=0,0,Table2[[#This Row],[Total]]-Table2[[#This Row],[Personal Stock]])</f>
        <v>0</v>
      </c>
    </row>
    <row r="72" spans="1:9" x14ac:dyDescent="0.3">
      <c r="A72" s="32">
        <f>ROW(Table2[[#This Row],[Footprint]])</f>
        <v>72</v>
      </c>
      <c r="G72">
        <f>Table2[[#This Row],[Quantity]]*$M$3</f>
        <v>0</v>
      </c>
      <c r="H72">
        <v>0</v>
      </c>
      <c r="I72">
        <f>IF(Table2[[#This Row],[Total]]-Table2[[#This Row],[Personal Stock]]&lt;=0,0,Table2[[#This Row],[Total]]-Table2[[#This Row],[Personal Stock]])</f>
        <v>0</v>
      </c>
    </row>
    <row r="73" spans="1:9" x14ac:dyDescent="0.3">
      <c r="A73" s="32">
        <f>ROW(Table2[[#This Row],[Footprint]])</f>
        <v>73</v>
      </c>
      <c r="G73">
        <f>Table2[[#This Row],[Quantity]]*$M$3</f>
        <v>0</v>
      </c>
      <c r="H73">
        <v>0</v>
      </c>
      <c r="I73">
        <f>IF(Table2[[#This Row],[Total]]-Table2[[#This Row],[Personal Stock]]&lt;=0,0,Table2[[#This Row],[Total]]-Table2[[#This Row],[Personal Stock]])</f>
        <v>0</v>
      </c>
    </row>
    <row r="74" spans="1:9" x14ac:dyDescent="0.3">
      <c r="A74" s="32">
        <f>ROW(Table2[[#This Row],[Footprint]])</f>
        <v>74</v>
      </c>
      <c r="G74">
        <f>Table2[[#This Row],[Quantity]]*$M$3</f>
        <v>0</v>
      </c>
      <c r="H74">
        <v>0</v>
      </c>
      <c r="I74">
        <f>IF(Table2[[#This Row],[Total]]-Table2[[#This Row],[Personal Stock]]&lt;=0,0,Table2[[#This Row],[Total]]-Table2[[#This Row],[Personal Stock]])</f>
        <v>0</v>
      </c>
    </row>
    <row r="75" spans="1:9" x14ac:dyDescent="0.3">
      <c r="A75" s="32">
        <f>ROW(Table2[[#This Row],[Footprint]])</f>
        <v>75</v>
      </c>
      <c r="G75">
        <f>Table2[[#This Row],[Quantity]]*$M$3</f>
        <v>0</v>
      </c>
      <c r="H75">
        <v>0</v>
      </c>
      <c r="I75">
        <f>IF(Table2[[#This Row],[Total]]-Table2[[#This Row],[Personal Stock]]&lt;=0,0,Table2[[#This Row],[Total]]-Table2[[#This Row],[Personal Stock]])</f>
        <v>0</v>
      </c>
    </row>
    <row r="76" spans="1:9" x14ac:dyDescent="0.3">
      <c r="A76" s="32">
        <f>ROW(Table2[[#This Row],[Footprint]])</f>
        <v>76</v>
      </c>
      <c r="G76">
        <f>Table2[[#This Row],[Quantity]]*$M$3</f>
        <v>0</v>
      </c>
      <c r="H76">
        <v>0</v>
      </c>
      <c r="I76">
        <f>IF(Table2[[#This Row],[Total]]-Table2[[#This Row],[Personal Stock]]&lt;=0,0,Table2[[#This Row],[Total]]-Table2[[#This Row],[Personal Stock]])</f>
        <v>0</v>
      </c>
    </row>
    <row r="77" spans="1:9" x14ac:dyDescent="0.3">
      <c r="A77" s="32">
        <f>ROW(Table2[[#This Row],[Footprint]])</f>
        <v>77</v>
      </c>
      <c r="G77">
        <f>Table2[[#This Row],[Quantity]]*$M$3</f>
        <v>0</v>
      </c>
      <c r="H77">
        <v>0</v>
      </c>
      <c r="I77">
        <f>IF(Table2[[#This Row],[Total]]-Table2[[#This Row],[Personal Stock]]&lt;=0,0,Table2[[#This Row],[Total]]-Table2[[#This Row],[Personal Stock]])</f>
        <v>0</v>
      </c>
    </row>
    <row r="78" spans="1:9" x14ac:dyDescent="0.3">
      <c r="A78" s="32">
        <f>ROW(Table2[[#This Row],[Footprint]])</f>
        <v>78</v>
      </c>
      <c r="G78">
        <f>Table2[[#This Row],[Quantity]]*$M$3</f>
        <v>0</v>
      </c>
      <c r="H78">
        <v>0</v>
      </c>
      <c r="I78">
        <f>IF(Table2[[#This Row],[Total]]-Table2[[#This Row],[Personal Stock]]&lt;=0,0,Table2[[#This Row],[Total]]-Table2[[#This Row],[Personal Stock]])</f>
        <v>0</v>
      </c>
    </row>
    <row r="79" spans="1:9" x14ac:dyDescent="0.3">
      <c r="A79" s="32">
        <f>ROW(Table2[[#This Row],[Footprint]])</f>
        <v>79</v>
      </c>
      <c r="G79">
        <f>Table2[[#This Row],[Quantity]]*$M$3</f>
        <v>0</v>
      </c>
      <c r="H79">
        <v>0</v>
      </c>
      <c r="I79">
        <f>IF(Table2[[#This Row],[Total]]-Table2[[#This Row],[Personal Stock]]&lt;=0,0,Table2[[#This Row],[Total]]-Table2[[#This Row],[Personal Stock]])</f>
        <v>0</v>
      </c>
    </row>
    <row r="80" spans="1:9" x14ac:dyDescent="0.3">
      <c r="A80" s="32">
        <f>ROW(Table2[[#This Row],[Footprint]])</f>
        <v>80</v>
      </c>
      <c r="G80">
        <f>Table2[[#This Row],[Quantity]]*$M$3</f>
        <v>0</v>
      </c>
      <c r="H80">
        <v>0</v>
      </c>
      <c r="I80">
        <f>IF(Table2[[#This Row],[Total]]-Table2[[#This Row],[Personal Stock]]&lt;=0,0,Table2[[#This Row],[Total]]-Table2[[#This Row],[Personal Stock]])</f>
        <v>0</v>
      </c>
    </row>
    <row r="81" spans="1:9" x14ac:dyDescent="0.3">
      <c r="A81" s="32">
        <f>ROW(Table2[[#This Row],[Footprint]])</f>
        <v>81</v>
      </c>
      <c r="G81">
        <f>Table2[[#This Row],[Quantity]]*$M$3</f>
        <v>0</v>
      </c>
      <c r="H81">
        <v>0</v>
      </c>
      <c r="I81">
        <f>IF(Table2[[#This Row],[Total]]-Table2[[#This Row],[Personal Stock]]&lt;=0,0,Table2[[#This Row],[Total]]-Table2[[#This Row],[Personal Stock]])</f>
        <v>0</v>
      </c>
    </row>
    <row r="82" spans="1:9" x14ac:dyDescent="0.3">
      <c r="A82" s="32">
        <f>ROW(Table2[[#This Row],[Footprint]])</f>
        <v>82</v>
      </c>
      <c r="G82">
        <f>Table2[[#This Row],[Quantity]]*$M$3</f>
        <v>0</v>
      </c>
      <c r="H82">
        <v>0</v>
      </c>
      <c r="I82">
        <f>IF(Table2[[#This Row],[Total]]-Table2[[#This Row],[Personal Stock]]&lt;=0,0,Table2[[#This Row],[Total]]-Table2[[#This Row],[Personal Stock]])</f>
        <v>0</v>
      </c>
    </row>
    <row r="83" spans="1:9" x14ac:dyDescent="0.3">
      <c r="A83" s="32">
        <f>ROW(Table2[[#This Row],[Footprint]])</f>
        <v>83</v>
      </c>
      <c r="G83">
        <f>Table2[[#This Row],[Quantity]]*$M$3</f>
        <v>0</v>
      </c>
      <c r="H83">
        <v>0</v>
      </c>
      <c r="I83">
        <f>IF(Table2[[#This Row],[Total]]-Table2[[#This Row],[Personal Stock]]&lt;=0,0,Table2[[#This Row],[Total]]-Table2[[#This Row],[Personal Stock]])</f>
        <v>0</v>
      </c>
    </row>
    <row r="84" spans="1:9" x14ac:dyDescent="0.3">
      <c r="A84" s="32">
        <f>ROW(Table2[[#This Row],[Footprint]])</f>
        <v>84</v>
      </c>
      <c r="G84">
        <f>Table2[[#This Row],[Quantity]]*$M$3</f>
        <v>0</v>
      </c>
      <c r="H84">
        <v>0</v>
      </c>
      <c r="I84">
        <f>IF(Table2[[#This Row],[Total]]-Table2[[#This Row],[Personal Stock]]&lt;=0,0,Table2[[#This Row],[Total]]-Table2[[#This Row],[Personal Stock]])</f>
        <v>0</v>
      </c>
    </row>
    <row r="85" spans="1:9" x14ac:dyDescent="0.3">
      <c r="A85" s="32">
        <f>ROW(Table2[[#This Row],[Footprint]])</f>
        <v>85</v>
      </c>
      <c r="G85">
        <f>Table2[[#This Row],[Quantity]]*$M$3</f>
        <v>0</v>
      </c>
      <c r="H85">
        <v>0</v>
      </c>
      <c r="I85">
        <f>IF(Table2[[#This Row],[Total]]-Table2[[#This Row],[Personal Stock]]&lt;=0,0,Table2[[#This Row],[Total]]-Table2[[#This Row],[Personal Stock]])</f>
        <v>0</v>
      </c>
    </row>
    <row r="86" spans="1:9" x14ac:dyDescent="0.3">
      <c r="A86" s="32">
        <f>ROW(Table2[[#This Row],[Footprint]])</f>
        <v>86</v>
      </c>
      <c r="G86">
        <f>Table2[[#This Row],[Quantity]]*$M$3</f>
        <v>0</v>
      </c>
      <c r="H86">
        <v>0</v>
      </c>
      <c r="I86">
        <f>IF(Table2[[#This Row],[Total]]-Table2[[#This Row],[Personal Stock]]&lt;=0,0,Table2[[#This Row],[Total]]-Table2[[#This Row],[Personal Stock]])</f>
        <v>0</v>
      </c>
    </row>
    <row r="87" spans="1:9" x14ac:dyDescent="0.3">
      <c r="A87" s="32">
        <f>ROW(Table2[[#This Row],[Footprint]])</f>
        <v>87</v>
      </c>
      <c r="G87">
        <f>Table2[[#This Row],[Quantity]]*$M$3</f>
        <v>0</v>
      </c>
      <c r="H87">
        <v>0</v>
      </c>
      <c r="I87">
        <f>IF(Table2[[#This Row],[Total]]-Table2[[#This Row],[Personal Stock]]&lt;=0,0,Table2[[#This Row],[Total]]-Table2[[#This Row],[Personal Stock]])</f>
        <v>0</v>
      </c>
    </row>
    <row r="88" spans="1:9" x14ac:dyDescent="0.3">
      <c r="A88" s="32">
        <f>ROW(Table2[[#This Row],[Footprint]])</f>
        <v>88</v>
      </c>
      <c r="G88">
        <f>Table2[[#This Row],[Quantity]]*$M$3</f>
        <v>0</v>
      </c>
      <c r="H88">
        <v>0</v>
      </c>
      <c r="I88">
        <f>IF(Table2[[#This Row],[Total]]-Table2[[#This Row],[Personal Stock]]&lt;=0,0,Table2[[#This Row],[Total]]-Table2[[#This Row],[Personal Stock]])</f>
        <v>0</v>
      </c>
    </row>
    <row r="89" spans="1:9" x14ac:dyDescent="0.3">
      <c r="A89" s="32">
        <f>ROW(Table2[[#This Row],[Footprint]])</f>
        <v>89</v>
      </c>
      <c r="G89">
        <f>Table2[[#This Row],[Quantity]]*$M$3</f>
        <v>0</v>
      </c>
      <c r="H89">
        <v>0</v>
      </c>
      <c r="I89">
        <f>IF(Table2[[#This Row],[Total]]-Table2[[#This Row],[Personal Stock]]&lt;=0,0,Table2[[#This Row],[Total]]-Table2[[#This Row],[Personal Stock]])</f>
        <v>0</v>
      </c>
    </row>
    <row r="90" spans="1:9" x14ac:dyDescent="0.3">
      <c r="A90" s="32">
        <f>ROW(Table2[[#This Row],[Footprint]])</f>
        <v>90</v>
      </c>
      <c r="G90">
        <f>Table2[[#This Row],[Quantity]]*$M$3</f>
        <v>0</v>
      </c>
      <c r="H90">
        <v>0</v>
      </c>
      <c r="I90">
        <f>IF(Table2[[#This Row],[Total]]-Table2[[#This Row],[Personal Stock]]&lt;=0,0,Table2[[#This Row],[Total]]-Table2[[#This Row],[Personal Stock]])</f>
        <v>0</v>
      </c>
    </row>
    <row r="91" spans="1:9" x14ac:dyDescent="0.3">
      <c r="A91" s="32">
        <f>ROW(Table2[[#This Row],[Footprint]])</f>
        <v>91</v>
      </c>
      <c r="G91">
        <f>Table2[[#This Row],[Quantity]]*$M$3</f>
        <v>0</v>
      </c>
      <c r="H91">
        <v>0</v>
      </c>
      <c r="I91">
        <f>IF(Table2[[#This Row],[Total]]-Table2[[#This Row],[Personal Stock]]&lt;=0,0,Table2[[#This Row],[Total]]-Table2[[#This Row],[Personal Stock]])</f>
        <v>0</v>
      </c>
    </row>
    <row r="92" spans="1:9" x14ac:dyDescent="0.3">
      <c r="A92" s="32">
        <f>ROW(Table2[[#This Row],[Footprint]])</f>
        <v>92</v>
      </c>
      <c r="G92">
        <f>Table2[[#This Row],[Quantity]]*$M$3</f>
        <v>0</v>
      </c>
      <c r="H92">
        <v>0</v>
      </c>
      <c r="I92">
        <f>IF(Table2[[#This Row],[Total]]-Table2[[#This Row],[Personal Stock]]&lt;=0,0,Table2[[#This Row],[Total]]-Table2[[#This Row],[Personal Stock]])</f>
        <v>0</v>
      </c>
    </row>
    <row r="93" spans="1:9" x14ac:dyDescent="0.3">
      <c r="A93" s="32">
        <f>ROW(Table2[[#This Row],[Footprint]])</f>
        <v>93</v>
      </c>
      <c r="G93">
        <f>Table2[[#This Row],[Quantity]]*$M$3</f>
        <v>0</v>
      </c>
      <c r="H93">
        <v>0</v>
      </c>
      <c r="I93">
        <f>IF(Table2[[#This Row],[Total]]-Table2[[#This Row],[Personal Stock]]&lt;=0,0,Table2[[#This Row],[Total]]-Table2[[#This Row],[Personal Stock]])</f>
        <v>0</v>
      </c>
    </row>
    <row r="94" spans="1:9" x14ac:dyDescent="0.3">
      <c r="A94" s="32">
        <f>ROW(Table2[[#This Row],[Footprint]])</f>
        <v>94</v>
      </c>
      <c r="G94">
        <f>Table2[[#This Row],[Quantity]]*$M$3</f>
        <v>0</v>
      </c>
      <c r="H94">
        <v>0</v>
      </c>
      <c r="I94">
        <f>IF(Table2[[#This Row],[Total]]-Table2[[#This Row],[Personal Stock]]&lt;=0,0,Table2[[#This Row],[Total]]-Table2[[#This Row],[Personal Stock]])</f>
        <v>0</v>
      </c>
    </row>
    <row r="95" spans="1:9" x14ac:dyDescent="0.3">
      <c r="A95" s="32">
        <f>ROW(Table2[[#This Row],[Footprint]])</f>
        <v>95</v>
      </c>
      <c r="G95">
        <f>Table2[[#This Row],[Quantity]]*$M$3</f>
        <v>0</v>
      </c>
      <c r="H95">
        <v>0</v>
      </c>
      <c r="I95">
        <f>IF(Table2[[#This Row],[Total]]-Table2[[#This Row],[Personal Stock]]&lt;=0,0,Table2[[#This Row],[Total]]-Table2[[#This Row],[Personal Stock]])</f>
        <v>0</v>
      </c>
    </row>
    <row r="96" spans="1:9" x14ac:dyDescent="0.3">
      <c r="A96" s="32">
        <f>ROW(Table2[[#This Row],[Footprint]])</f>
        <v>96</v>
      </c>
      <c r="G96">
        <f>Table2[[#This Row],[Quantity]]*$M$3</f>
        <v>0</v>
      </c>
      <c r="H96">
        <v>0</v>
      </c>
      <c r="I96">
        <f>IF(Table2[[#This Row],[Total]]-Table2[[#This Row],[Personal Stock]]&lt;=0,0,Table2[[#This Row],[Total]]-Table2[[#This Row],[Personal Stock]])</f>
        <v>0</v>
      </c>
    </row>
    <row r="97" spans="1:9" x14ac:dyDescent="0.3">
      <c r="A97" s="32">
        <f>ROW(Table2[[#This Row],[Footprint]])</f>
        <v>97</v>
      </c>
      <c r="G97">
        <f>Table2[[#This Row],[Quantity]]*$M$3</f>
        <v>0</v>
      </c>
      <c r="H97">
        <v>0</v>
      </c>
      <c r="I97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I1:I97">
    <cfRule type="cellIs" dxfId="11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2026-04-13T21:45:23Z</dcterms:modified>
</cp:coreProperties>
</file>