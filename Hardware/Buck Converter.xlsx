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ngel\Desktop\Proyectos\FOC BLDC\Hardware\"/>
    </mc:Choice>
  </mc:AlternateContent>
  <xr:revisionPtr revIDLastSave="0" documentId="13_ncr:1_{20B1B338-48D6-4EEC-88C4-B1FD0F68876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" l="1"/>
  <c r="B17" i="1"/>
  <c r="F13" i="1"/>
  <c r="F12" i="1"/>
  <c r="F10" i="1"/>
  <c r="F18" i="1"/>
  <c r="F14" i="1"/>
  <c r="F3" i="1"/>
  <c r="F8" i="1"/>
  <c r="G7" i="1"/>
  <c r="F9" i="1"/>
  <c r="F16" i="1"/>
  <c r="F11" i="1"/>
  <c r="F7" i="1"/>
  <c r="F6" i="1"/>
  <c r="F5" i="1"/>
  <c r="F2" i="1"/>
  <c r="F17" i="1" l="1"/>
</calcChain>
</file>

<file path=xl/sharedStrings.xml><?xml version="1.0" encoding="utf-8"?>
<sst xmlns="http://schemas.openxmlformats.org/spreadsheetml/2006/main" count="42" uniqueCount="42">
  <si>
    <t>Data</t>
  </si>
  <si>
    <t>Input Voltage (V)</t>
  </si>
  <si>
    <t>Output Voltage (V)</t>
  </si>
  <si>
    <r>
      <t>R(RT/CLK) (K</t>
    </r>
    <r>
      <rPr>
        <sz val="11"/>
        <color theme="1"/>
        <rFont val="Aptos Narrow"/>
        <family val="2"/>
      </rPr>
      <t>Ω)</t>
    </r>
  </si>
  <si>
    <t>Switching freq (kHz)</t>
  </si>
  <si>
    <t>Value</t>
  </si>
  <si>
    <t>Considerations</t>
  </si>
  <si>
    <t>Operations</t>
  </si>
  <si>
    <t>100 - 2500</t>
  </si>
  <si>
    <t>R2 (KΩ)</t>
  </si>
  <si>
    <t>R1 (KΩ)</t>
  </si>
  <si>
    <t>Css (nF)</t>
  </si>
  <si>
    <t>Vref (Slow start) (V)</t>
  </si>
  <si>
    <t>Iss (Slow start current) (uA)</t>
  </si>
  <si>
    <t>tss (Slow start time) (ms)</t>
  </si>
  <si>
    <t>Efficiency</t>
  </si>
  <si>
    <r>
      <rPr>
        <sz val="11"/>
        <color theme="1"/>
        <rFont val="Aptos Narrow"/>
        <family val="2"/>
      </rPr>
      <t>δ</t>
    </r>
    <r>
      <rPr>
        <sz val="11"/>
        <color theme="1"/>
        <rFont val="Calibri"/>
        <family val="2"/>
        <scheme val="minor"/>
      </rPr>
      <t xml:space="preserve"> (Duty Cycle)</t>
    </r>
  </si>
  <si>
    <t>Max ripple current (mA)</t>
  </si>
  <si>
    <t>Output Current (mA)</t>
  </si>
  <si>
    <t>Lo min Inductance (H)</t>
  </si>
  <si>
    <t>Peak current (mA)</t>
  </si>
  <si>
    <t>Isat &gt; Ipeak</t>
  </si>
  <si>
    <t>Cout (uF)</t>
  </si>
  <si>
    <t>Ro (Ω)</t>
  </si>
  <si>
    <t>Resr (mΩ)</t>
  </si>
  <si>
    <t>fp (kHz)</t>
  </si>
  <si>
    <t>R3 (kΩ)</t>
  </si>
  <si>
    <t>C1 (nF)</t>
  </si>
  <si>
    <t>C2 (pF)</t>
  </si>
  <si>
    <t>fLC (kHz) or fz1</t>
  </si>
  <si>
    <t>fc (khz)</t>
  </si>
  <si>
    <t>Real Values</t>
  </si>
  <si>
    <t>(Vin – Vout) × D / (L × f_sw)</t>
  </si>
  <si>
    <t>Cout (RMS current) (mA)</t>
  </si>
  <si>
    <t>Variation Vout</t>
  </si>
  <si>
    <t>fp2 (kHz)</t>
  </si>
  <si>
    <t>For 16V from mosfet</t>
  </si>
  <si>
    <t>Rds (on) (Ω)</t>
  </si>
  <si>
    <t>Vds (on)</t>
  </si>
  <si>
    <t>For OC_ADJ pin</t>
  </si>
  <si>
    <t>Ids max of mosfet</t>
  </si>
  <si>
    <t>Limit to 40A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</si>
</sst>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00"/>
    <numFmt numFmtId="166" formatCode="0.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4" borderId="1" xfId="0" applyFill="1" applyBorder="1"/>
    <xf numFmtId="0" fontId="0" fillId="0" borderId="1" xfId="0" applyBorder="1" applyAlignment="1">
      <alignment horizontal="right"/>
    </xf>
    <xf numFmtId="9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2" fontId="0" fillId="0" borderId="1" xfId="0" applyNumberFormat="1" applyBorder="1"/>
    <xf numFmtId="2" fontId="0" fillId="0" borderId="0" xfId="0" applyNumberFormat="1"/>
    <xf numFmtId="11" fontId="0" fillId="0" borderId="1" xfId="0" applyNumberFormat="1" applyBorder="1"/>
    <xf numFmtId="0" fontId="0" fillId="0" borderId="2" xfId="0" applyBorder="1"/>
    <xf numFmtId="2" fontId="0" fillId="0" borderId="2" xfId="0" applyNumberFormat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topLeftCell="A7" zoomScale="160" zoomScaleNormal="160" workbookViewId="0">
      <selection activeCell="B20" sqref="B20"/>
    </sheetView>
  </sheetViews>
  <sheetFormatPr defaultRowHeight="14.4" x14ac:dyDescent="0.3"/>
  <cols>
    <col min="1" max="1" width="24.5546875" customWidth="1"/>
    <col min="2" max="2" width="9.88671875" customWidth="1"/>
    <col min="3" max="3" width="17.44140625" customWidth="1"/>
    <col min="5" max="5" width="20.6640625" customWidth="1"/>
    <col min="6" max="6" width="8.44140625" style="9" customWidth="1"/>
    <col min="7" max="7" width="11.21875" customWidth="1"/>
    <col min="8" max="8" width="12" customWidth="1"/>
  </cols>
  <sheetData>
    <row r="1" spans="1:8" x14ac:dyDescent="0.3">
      <c r="A1" s="3" t="s">
        <v>0</v>
      </c>
      <c r="B1" s="3" t="s">
        <v>5</v>
      </c>
      <c r="C1" s="3" t="s">
        <v>6</v>
      </c>
      <c r="E1" s="13" t="s">
        <v>7</v>
      </c>
      <c r="F1" s="13"/>
      <c r="G1" s="14" t="s">
        <v>31</v>
      </c>
    </row>
    <row r="2" spans="1:8" x14ac:dyDescent="0.3">
      <c r="A2" s="2" t="s">
        <v>1</v>
      </c>
      <c r="B2" s="1">
        <v>16</v>
      </c>
      <c r="C2" s="4"/>
      <c r="E2" s="11" t="s">
        <v>3</v>
      </c>
      <c r="F2" s="12">
        <f>206033/(B4^1.0888)</f>
        <v>200.01265706102132</v>
      </c>
      <c r="G2" s="1"/>
    </row>
    <row r="3" spans="1:8" x14ac:dyDescent="0.3">
      <c r="A3" s="2" t="s">
        <v>2</v>
      </c>
      <c r="B3" s="1">
        <v>5</v>
      </c>
      <c r="C3" s="4"/>
      <c r="E3" s="1" t="s">
        <v>10</v>
      </c>
      <c r="F3" s="8">
        <f>F4*(B3-0.8)/0.8</f>
        <v>52.5</v>
      </c>
      <c r="G3" s="1">
        <v>52.3</v>
      </c>
    </row>
    <row r="4" spans="1:8" x14ac:dyDescent="0.3">
      <c r="A4" s="2" t="s">
        <v>4</v>
      </c>
      <c r="B4" s="1">
        <v>585</v>
      </c>
      <c r="C4" s="4" t="s">
        <v>8</v>
      </c>
      <c r="E4" s="1" t="s">
        <v>9</v>
      </c>
      <c r="F4" s="8">
        <v>10</v>
      </c>
      <c r="G4" s="1"/>
    </row>
    <row r="5" spans="1:8" x14ac:dyDescent="0.3">
      <c r="A5" s="2" t="s">
        <v>12</v>
      </c>
      <c r="B5" s="1">
        <v>0.8</v>
      </c>
      <c r="C5" s="4"/>
      <c r="E5" s="1" t="s">
        <v>11</v>
      </c>
      <c r="F5" s="8">
        <f>(B7*B6)/(B5*0.8)</f>
        <v>15.624999999999996</v>
      </c>
      <c r="G5" s="1"/>
    </row>
    <row r="6" spans="1:8" x14ac:dyDescent="0.3">
      <c r="A6" s="2" t="s">
        <v>13</v>
      </c>
      <c r="B6" s="1">
        <v>2</v>
      </c>
      <c r="C6" s="4"/>
      <c r="E6" s="1" t="s">
        <v>16</v>
      </c>
      <c r="F6" s="8">
        <f>B3/(B2*B8)</f>
        <v>0.36764705882352944</v>
      </c>
      <c r="G6" s="1"/>
    </row>
    <row r="7" spans="1:8" x14ac:dyDescent="0.3">
      <c r="A7" s="2" t="s">
        <v>14</v>
      </c>
      <c r="B7" s="1">
        <v>5</v>
      </c>
      <c r="C7" s="4"/>
      <c r="E7" s="1" t="s">
        <v>19</v>
      </c>
      <c r="F7" s="10">
        <f xml:space="preserve"> ((16-5)/(0.3*B9))*(B3/(B2*B4))</f>
        <v>1.3057929724596393E-5</v>
      </c>
      <c r="G7" s="1">
        <f>1.2*10^-5</f>
        <v>1.2E-5</v>
      </c>
    </row>
    <row r="8" spans="1:8" x14ac:dyDescent="0.3">
      <c r="A8" s="2" t="s">
        <v>15</v>
      </c>
      <c r="B8" s="5">
        <v>0.85</v>
      </c>
      <c r="C8" s="4"/>
      <c r="E8" s="1" t="s">
        <v>17</v>
      </c>
      <c r="F8" s="8">
        <f>(B2-B3)*F6/(B4*G7)</f>
        <v>576.08513490866437</v>
      </c>
      <c r="G8" s="1"/>
      <c r="H8" t="s">
        <v>32</v>
      </c>
    </row>
    <row r="9" spans="1:8" x14ac:dyDescent="0.3">
      <c r="A9" s="2" t="s">
        <v>18</v>
      </c>
      <c r="B9" s="1">
        <v>1500</v>
      </c>
      <c r="C9" s="4"/>
      <c r="E9" s="1" t="s">
        <v>20</v>
      </c>
      <c r="F9" s="8">
        <f>B9+F8/2</f>
        <v>1788.0425674543321</v>
      </c>
      <c r="H9" s="1" t="s">
        <v>21</v>
      </c>
    </row>
    <row r="10" spans="1:8" x14ac:dyDescent="0.3">
      <c r="A10" s="2" t="s">
        <v>24</v>
      </c>
      <c r="B10" s="1">
        <v>58</v>
      </c>
      <c r="C10" s="4"/>
      <c r="E10" s="1" t="s">
        <v>22</v>
      </c>
      <c r="F10" s="6">
        <f>((B2-F6)*F6)/(8*B4*F19)</f>
        <v>0.49121269925768196</v>
      </c>
      <c r="G10" s="1">
        <v>49</v>
      </c>
    </row>
    <row r="11" spans="1:8" x14ac:dyDescent="0.3">
      <c r="A11" s="2" t="s">
        <v>30</v>
      </c>
      <c r="B11" s="1">
        <v>50</v>
      </c>
      <c r="C11" s="4"/>
      <c r="E11" s="1" t="s">
        <v>23</v>
      </c>
      <c r="F11" s="8">
        <f>B3/B9*1000</f>
        <v>3.3333333333333335</v>
      </c>
      <c r="G11" s="1"/>
    </row>
    <row r="12" spans="1:8" x14ac:dyDescent="0.3">
      <c r="E12" s="1" t="s">
        <v>25</v>
      </c>
      <c r="F12" s="8">
        <f>1/(2*PI()*G10*F11)*10^6</f>
        <v>974.41801892997148</v>
      </c>
      <c r="G12" s="1"/>
    </row>
    <row r="13" spans="1:8" x14ac:dyDescent="0.3">
      <c r="E13" s="1" t="s">
        <v>35</v>
      </c>
      <c r="F13" s="8">
        <f>B4*0.5</f>
        <v>292.5</v>
      </c>
      <c r="G13" s="1"/>
    </row>
    <row r="14" spans="1:8" x14ac:dyDescent="0.3">
      <c r="E14" s="1" t="s">
        <v>29</v>
      </c>
      <c r="F14" s="8">
        <f>1/(2*PI()*SQRT(G7*G10))</f>
        <v>6.5634392312118104</v>
      </c>
      <c r="G14" s="1"/>
    </row>
    <row r="15" spans="1:8" x14ac:dyDescent="0.3">
      <c r="E15" s="1" t="s">
        <v>26</v>
      </c>
      <c r="F15" s="8">
        <v>15</v>
      </c>
      <c r="G15" s="1"/>
    </row>
    <row r="16" spans="1:8" x14ac:dyDescent="0.3">
      <c r="E16" s="1" t="s">
        <v>27</v>
      </c>
      <c r="F16" s="8">
        <f>1/(2*PI()*F15*F14)*1000</f>
        <v>1.6165807537309522</v>
      </c>
      <c r="G16" s="1"/>
    </row>
    <row r="17" spans="1:7" x14ac:dyDescent="0.3">
      <c r="A17" s="2" t="s">
        <v>37</v>
      </c>
      <c r="B17" s="1">
        <f>2.4/1000</f>
        <v>2.3999999999999998E-3</v>
      </c>
      <c r="C17" s="4" t="s">
        <v>36</v>
      </c>
      <c r="E17" s="1" t="s">
        <v>28</v>
      </c>
      <c r="F17" s="8">
        <f>1/(2*PI()*F15*F13)*10^6</f>
        <v>36.274630904135698</v>
      </c>
      <c r="G17" s="1"/>
    </row>
    <row r="18" spans="1:7" x14ac:dyDescent="0.3">
      <c r="A18" s="2" t="s">
        <v>40</v>
      </c>
      <c r="B18" s="8">
        <v>40</v>
      </c>
      <c r="C18" s="4" t="s">
        <v>41</v>
      </c>
      <c r="E18" s="1" t="s">
        <v>33</v>
      </c>
      <c r="F18" s="8">
        <f>F8/(2*SQRT(3))</f>
        <v>166.30145385782964</v>
      </c>
      <c r="G18" s="1"/>
    </row>
    <row r="19" spans="1:7" x14ac:dyDescent="0.3">
      <c r="A19" s="2" t="s">
        <v>38</v>
      </c>
      <c r="B19" s="1">
        <f>B18*B17</f>
        <v>9.5999999999999988E-2</v>
      </c>
      <c r="C19" s="4" t="s">
        <v>39</v>
      </c>
      <c r="E19" s="1" t="s">
        <v>34</v>
      </c>
      <c r="F19" s="7">
        <v>2.5000000000000001E-3</v>
      </c>
      <c r="G19" s="1"/>
    </row>
  </sheetData>
  <mergeCells count="1"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Ángel</dc:creator>
  <cp:lastModifiedBy>Pelegry Velasco, Angel</cp:lastModifiedBy>
  <dcterms:created xsi:type="dcterms:W3CDTF">2015-06-05T18:17:20Z</dcterms:created>
  <dcterms:modified xsi:type="dcterms:W3CDTF">2025-10-07T05:00:07Z</dcterms:modified>
</cp:coreProperties>
</file>