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angel\Desktop\Proyectos\FOC_BLDC\Hardware\"/>
    </mc:Choice>
  </mc:AlternateContent>
  <xr:revisionPtr revIDLastSave="0" documentId="13_ncr:1_{90614B28-8C13-4814-AF35-C3A61FF40A89}" xr6:coauthVersionLast="47" xr6:coauthVersionMax="47" xr10:uidLastSave="{00000000-0000-0000-0000-000000000000}"/>
  <bookViews>
    <workbookView xWindow="-108" yWindow="-108" windowWidth="23256" windowHeight="14616" xr2:uid="{00000000-000D-0000-FFFF-FFFF00000000}"/>
  </bookViews>
  <sheets>
    <sheet name="16 to 5" sheetId="2" r:id="rId1"/>
    <sheet name="36 to 16" sheetId="3" r:id="rId2"/>
    <sheet name="Sheet1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G3" i="2"/>
  <c r="F8" i="2"/>
  <c r="F11" i="2" s="1"/>
  <c r="F12" i="2"/>
  <c r="F18" i="2"/>
  <c r="F19" i="2"/>
  <c r="G3" i="3" l="1"/>
  <c r="B17" i="3"/>
  <c r="B19" i="3" s="1"/>
  <c r="F15" i="3"/>
  <c r="F17" i="3" s="1"/>
  <c r="F14" i="3"/>
  <c r="F18" i="3" s="1"/>
  <c r="F12" i="3"/>
  <c r="F13" i="3" s="1"/>
  <c r="F7" i="3"/>
  <c r="F11" i="3" s="1"/>
  <c r="F6" i="3"/>
  <c r="F4" i="3"/>
  <c r="F3" i="3"/>
  <c r="F2" i="3"/>
  <c r="B17" i="2"/>
  <c r="B19" i="2" s="1"/>
  <c r="F17" i="2"/>
  <c r="F16" i="2" s="1"/>
  <c r="F21" i="2" s="1"/>
  <c r="F22" i="2" s="1"/>
  <c r="F7" i="2"/>
  <c r="F6" i="2"/>
  <c r="F4" i="2"/>
  <c r="F2" i="2"/>
  <c r="H11" i="1"/>
  <c r="F9" i="1"/>
  <c r="F14" i="1"/>
  <c r="B17" i="1"/>
  <c r="B19" i="1" s="1"/>
  <c r="F3" i="1"/>
  <c r="G7" i="1"/>
  <c r="F15" i="1" s="1"/>
  <c r="F17" i="1" s="1"/>
  <c r="F12" i="1"/>
  <c r="F13" i="1" s="1"/>
  <c r="F7" i="1"/>
  <c r="F6" i="1"/>
  <c r="F5" i="1"/>
  <c r="F2" i="1"/>
  <c r="F23" i="2" l="1"/>
  <c r="F8" i="3"/>
  <c r="F20" i="2"/>
  <c r="F8" i="1"/>
  <c r="F19" i="1" s="1"/>
  <c r="F11" i="1"/>
  <c r="F18" i="1"/>
  <c r="F10" i="2" l="1"/>
  <c r="F19" i="3"/>
  <c r="F9" i="3"/>
  <c r="H11" i="3" s="1"/>
  <c r="F10" i="3"/>
  <c r="F24" i="2"/>
  <c r="F10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1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</futureMetadata>
  <valueMetadata count="11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</valueMetadata>
</metadata>
</file>

<file path=xl/sharedStrings.xml><?xml version="1.0" encoding="utf-8"?>
<sst xmlns="http://schemas.openxmlformats.org/spreadsheetml/2006/main" count="165" uniqueCount="78">
  <si>
    <t>Data</t>
  </si>
  <si>
    <t>Input Voltage (V)</t>
  </si>
  <si>
    <t>Output Voltage (V)</t>
  </si>
  <si>
    <r>
      <t>R(RT/CLK) (K</t>
    </r>
    <r>
      <rPr>
        <sz val="11"/>
        <color theme="1"/>
        <rFont val="Aptos Narrow"/>
        <family val="2"/>
      </rPr>
      <t>Ω)</t>
    </r>
  </si>
  <si>
    <t>Switching freq (kHz)</t>
  </si>
  <si>
    <t>Value</t>
  </si>
  <si>
    <t>Considerations</t>
  </si>
  <si>
    <t>Operations</t>
  </si>
  <si>
    <t>100 - 2500</t>
  </si>
  <si>
    <t>R2 (KΩ)</t>
  </si>
  <si>
    <t>R1 (KΩ)</t>
  </si>
  <si>
    <t>Css (nF)</t>
  </si>
  <si>
    <t>Vref (Slow start) (V)</t>
  </si>
  <si>
    <t>Iss (Slow start current) (uA)</t>
  </si>
  <si>
    <t>tss (Slow start time) (ms)</t>
  </si>
  <si>
    <t>Efficiency</t>
  </si>
  <si>
    <r>
      <rPr>
        <sz val="11"/>
        <color theme="1"/>
        <rFont val="Aptos Narrow"/>
        <family val="2"/>
      </rPr>
      <t>δ</t>
    </r>
    <r>
      <rPr>
        <sz val="11"/>
        <color theme="1"/>
        <rFont val="Calibri"/>
        <family val="2"/>
        <scheme val="minor"/>
      </rPr>
      <t xml:space="preserve"> (Duty Cycle)</t>
    </r>
  </si>
  <si>
    <t>Max ripple current (mA)</t>
  </si>
  <si>
    <t>Output Current (mA)</t>
  </si>
  <si>
    <t>Lo min Inductance (H)</t>
  </si>
  <si>
    <t>Peak current (mA)</t>
  </si>
  <si>
    <t>Isat &gt; Ipeak</t>
  </si>
  <si>
    <t>Cout (uF)</t>
  </si>
  <si>
    <t>Ro (Ω)</t>
  </si>
  <si>
    <t>Resr (mΩ)</t>
  </si>
  <si>
    <t>fp (kHz)</t>
  </si>
  <si>
    <t>R3 (kΩ)</t>
  </si>
  <si>
    <t>C1 (nF)</t>
  </si>
  <si>
    <t>C2 (pF)</t>
  </si>
  <si>
    <t>fLC (kHz) or fz1</t>
  </si>
  <si>
    <t>fc (khz)</t>
  </si>
  <si>
    <t>Real Values</t>
  </si>
  <si>
    <t>(Vin – Vout) × D / (L × f_sw)</t>
  </si>
  <si>
    <t>Cout (RMS current) (mA)</t>
  </si>
  <si>
    <t>Variation Vout</t>
  </si>
  <si>
    <t>fp2 (kHz)</t>
  </si>
  <si>
    <t>For 16V from mosfet</t>
  </si>
  <si>
    <t>Rds (on) (Ω)</t>
  </si>
  <si>
    <t>Vds (on)</t>
  </si>
  <si>
    <t>For OC_ADJ pin</t>
  </si>
  <si>
    <t>Ids max of mosfet</t>
  </si>
  <si>
    <t>Limit to 40A</t>
  </si>
  <si>
    <t>Second pole</t>
  </si>
  <si>
    <t>Power stage pole</t>
  </si>
  <si>
    <t>loop BW</t>
  </si>
  <si>
    <t>Max voltage ripple (mV)</t>
  </si>
  <si>
    <t>100 - 2500, the higher more heat</t>
  </si>
  <si>
    <t>Pin RT_CLK pull down</t>
  </si>
  <si>
    <t>Kind</t>
  </si>
  <si>
    <t>% over max current for ind</t>
  </si>
  <si>
    <t>Max Output Current (mA)</t>
  </si>
  <si>
    <t>Max current rating 100% + Kind of max output</t>
  </si>
  <si>
    <r>
      <t xml:space="preserve">Lo </t>
    </r>
    <r>
      <rPr>
        <sz val="11"/>
        <color rgb="FFFF0000"/>
        <rFont val="Calibri"/>
        <family val="2"/>
        <scheme val="minor"/>
      </rPr>
      <t>min</t>
    </r>
    <r>
      <rPr>
        <sz val="11"/>
        <color theme="1"/>
        <rFont val="Calibri"/>
        <family val="2"/>
        <scheme val="minor"/>
      </rPr>
      <t xml:space="preserve"> Inductance (H)</t>
    </r>
  </si>
  <si>
    <t>Choose largest between both</t>
  </si>
  <si>
    <t>Modify R2 to obtain a proper value for R1</t>
  </si>
  <si>
    <t>Value for Vsense and obtain correct Vout</t>
  </si>
  <si>
    <t>Reverse voltage max diode</t>
  </si>
  <si>
    <t>Must be greater than Vin</t>
  </si>
  <si>
    <t>60 V</t>
  </si>
  <si>
    <t>Current greater than max out currrent</t>
  </si>
  <si>
    <t>B360</t>
  </si>
  <si>
    <t>gm(ps) (A/V)</t>
  </si>
  <si>
    <t>For this chip</t>
  </si>
  <si>
    <t>Ro (Ω) = Rload</t>
  </si>
  <si>
    <t>R3 (kΩ) = Rc</t>
  </si>
  <si>
    <t>Gmod(fc)</t>
  </si>
  <si>
    <t>gm(EA) (uA/V)</t>
  </si>
  <si>
    <t>fc</t>
  </si>
  <si>
    <t>Sw freq / 10</t>
  </si>
  <si>
    <t>fp (Hz)</t>
  </si>
  <si>
    <t>Using ripple current, variation of Iout to 50% of max range</t>
  </si>
  <si>
    <t xml:space="preserve">50 mV for Vout 5V </t>
  </si>
  <si>
    <t>160mV for 16V</t>
  </si>
  <si>
    <t>0402</t>
  </si>
  <si>
    <t>1nF</t>
  </si>
  <si>
    <t>% over max current for ind, decrease for lower ripple</t>
  </si>
  <si>
    <t>C2 (pF) = Cc (Series)</t>
  </si>
  <si>
    <t>C1 (pF) = Cf (Parallel)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</si>
</sst>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"/>
    <numFmt numFmtId="165" formatCode="0.0000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Aptos Narrow"/>
      <family val="2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4" borderId="1" xfId="0" applyFill="1" applyBorder="1"/>
    <xf numFmtId="0" fontId="0" fillId="0" borderId="1" xfId="0" applyBorder="1" applyAlignment="1">
      <alignment horizontal="right"/>
    </xf>
    <xf numFmtId="9" fontId="0" fillId="0" borderId="1" xfId="0" applyNumberFormat="1" applyBorder="1"/>
    <xf numFmtId="164" fontId="0" fillId="0" borderId="1" xfId="0" applyNumberFormat="1" applyBorder="1"/>
    <xf numFmtId="165" fontId="0" fillId="0" borderId="1" xfId="0" applyNumberFormat="1" applyBorder="1"/>
    <xf numFmtId="2" fontId="0" fillId="0" borderId="1" xfId="0" applyNumberFormat="1" applyBorder="1"/>
    <xf numFmtId="2" fontId="0" fillId="0" borderId="0" xfId="0" applyNumberFormat="1"/>
    <xf numFmtId="11" fontId="0" fillId="0" borderId="1" xfId="0" applyNumberFormat="1" applyBorder="1"/>
    <xf numFmtId="0" fontId="0" fillId="0" borderId="2" xfId="0" applyBorder="1"/>
    <xf numFmtId="2" fontId="0" fillId="0" borderId="2" xfId="0" applyNumberFormat="1" applyBorder="1"/>
    <xf numFmtId="0" fontId="0" fillId="3" borderId="1" xfId="0" applyFill="1" applyBorder="1"/>
    <xf numFmtId="0" fontId="0" fillId="3" borderId="1" xfId="0" applyFill="1" applyBorder="1" applyAlignment="1">
      <alignment horizontal="center"/>
    </xf>
    <xf numFmtId="0" fontId="0" fillId="4" borderId="1" xfId="0" applyFill="1" applyBorder="1" applyAlignment="1">
      <alignment vertical="center"/>
    </xf>
    <xf numFmtId="0" fontId="0" fillId="0" borderId="0" xfId="0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right" vertical="center"/>
    </xf>
    <xf numFmtId="0" fontId="0" fillId="0" borderId="2" xfId="0" applyBorder="1" applyAlignment="1">
      <alignment vertical="center"/>
    </xf>
    <xf numFmtId="2" fontId="0" fillId="0" borderId="2" xfId="0" applyNumberFormat="1" applyBorder="1" applyAlignment="1">
      <alignment vertical="center"/>
    </xf>
    <xf numFmtId="2" fontId="0" fillId="0" borderId="1" xfId="0" applyNumberFormat="1" applyBorder="1" applyAlignment="1">
      <alignment vertical="center"/>
    </xf>
    <xf numFmtId="11" fontId="0" fillId="0" borderId="1" xfId="0" applyNumberFormat="1" applyBorder="1" applyAlignment="1">
      <alignment vertical="center"/>
    </xf>
    <xf numFmtId="9" fontId="0" fillId="0" borderId="1" xfId="0" applyNumberFormat="1" applyBorder="1" applyAlignment="1">
      <alignment vertical="center"/>
    </xf>
    <xf numFmtId="164" fontId="0" fillId="0" borderId="1" xfId="0" applyNumberFormat="1" applyBorder="1" applyAlignment="1">
      <alignment vertical="center"/>
    </xf>
    <xf numFmtId="165" fontId="0" fillId="0" borderId="1" xfId="0" applyNumberFormat="1" applyBorder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2" fontId="0" fillId="6" borderId="2" xfId="0" applyNumberForma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2" fontId="0" fillId="6" borderId="1" xfId="0" applyNumberFormat="1" applyFill="1" applyBorder="1" applyAlignment="1">
      <alignment vertical="center"/>
    </xf>
    <xf numFmtId="9" fontId="0" fillId="0" borderId="1" xfId="0" applyNumberFormat="1" applyBorder="1" applyAlignment="1">
      <alignment horizontal="center" vertical="center"/>
    </xf>
    <xf numFmtId="49" fontId="0" fillId="0" borderId="1" xfId="0" applyNumberForma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0/relationships/richValueRel" Target="richData/richValueRel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11" Type="http://schemas.microsoft.com/office/2017/06/relationships/rdRichValueTypes" Target="richData/rdRichValueTypes.xml"/><Relationship Id="rId5" Type="http://schemas.openxmlformats.org/officeDocument/2006/relationships/styles" Target="styles.xml"/><Relationship Id="rId10" Type="http://schemas.microsoft.com/office/2017/06/relationships/rdRichValueStructure" Target="richData/rdrichvaluestructure.xml"/><Relationship Id="rId4" Type="http://schemas.openxmlformats.org/officeDocument/2006/relationships/theme" Target="theme/theme1.xml"/><Relationship Id="rId9" Type="http://schemas.microsoft.com/office/2017/06/relationships/rdRichValue" Target="richData/rdrichvalue.xml"/></Relationships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3" Type="http://schemas.openxmlformats.org/officeDocument/2006/relationships/image" Target="../media/image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5" Type="http://schemas.openxmlformats.org/officeDocument/2006/relationships/image" Target="../media/image5.png"/><Relationship Id="rId10" Type="http://schemas.openxmlformats.org/officeDocument/2006/relationships/image" Target="../media/image1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1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61262-2E2E-438C-9044-040EB1C596A1}">
  <dimension ref="A1:M25"/>
  <sheetViews>
    <sheetView tabSelected="1" zoomScaleNormal="100" workbookViewId="0">
      <selection activeCell="B3" sqref="B3"/>
    </sheetView>
  </sheetViews>
  <sheetFormatPr defaultRowHeight="14.4" x14ac:dyDescent="0.3"/>
  <cols>
    <col min="1" max="1" width="24.5546875" style="16" customWidth="1"/>
    <col min="2" max="2" width="9.88671875" style="16" customWidth="1"/>
    <col min="3" max="3" width="22.5546875" style="16" customWidth="1"/>
    <col min="4" max="4" width="8.88671875" style="16"/>
    <col min="5" max="5" width="23.77734375" style="16" customWidth="1"/>
    <col min="6" max="6" width="8.44140625" style="29" customWidth="1"/>
    <col min="7" max="7" width="11.21875" style="16" customWidth="1"/>
    <col min="8" max="8" width="12" style="16" customWidth="1"/>
    <col min="9" max="12" width="8.88671875" style="16"/>
  </cols>
  <sheetData>
    <row r="1" spans="1:13" x14ac:dyDescent="0.3">
      <c r="A1" s="15" t="s">
        <v>0</v>
      </c>
      <c r="B1" s="15" t="s">
        <v>5</v>
      </c>
      <c r="C1" s="15" t="s">
        <v>6</v>
      </c>
      <c r="E1" s="17" t="s">
        <v>7</v>
      </c>
      <c r="F1" s="17"/>
      <c r="G1" s="18" t="s">
        <v>31</v>
      </c>
    </row>
    <row r="2" spans="1:13" ht="43.8" customHeight="1" x14ac:dyDescent="0.3">
      <c r="A2" s="19" t="s">
        <v>1</v>
      </c>
      <c r="B2" s="34">
        <v>16</v>
      </c>
      <c r="C2" s="33"/>
      <c r="E2" s="22" t="s">
        <v>3</v>
      </c>
      <c r="F2" s="38">
        <f>206033/(B4^1.0888)</f>
        <v>200.01265706102132</v>
      </c>
      <c r="G2" s="20"/>
      <c r="H2" s="31" t="e" vm="1">
        <v>#VALUE!</v>
      </c>
      <c r="I2" s="30"/>
      <c r="J2" s="30"/>
      <c r="K2" s="16" t="s">
        <v>47</v>
      </c>
    </row>
    <row r="3" spans="1:13" ht="37.200000000000003" customHeight="1" x14ac:dyDescent="0.3">
      <c r="A3" s="19" t="s">
        <v>2</v>
      </c>
      <c r="B3" s="34">
        <v>5</v>
      </c>
      <c r="C3" s="33"/>
      <c r="E3" s="20" t="s">
        <v>52</v>
      </c>
      <c r="F3" s="25">
        <f xml:space="preserve"> ((B2-B3)/(B5*B10))*(B3/(B2*B4))</f>
        <v>1.3057929724596393E-5</v>
      </c>
      <c r="G3" s="39">
        <f>12*10^-6</f>
        <v>1.2E-5</v>
      </c>
      <c r="H3" s="31" t="e" vm="2">
        <v>#VALUE!</v>
      </c>
      <c r="I3" s="36"/>
      <c r="J3" s="36"/>
      <c r="K3" s="36"/>
      <c r="L3" s="16" t="s">
        <v>51</v>
      </c>
    </row>
    <row r="4" spans="1:13" ht="40.799999999999997" customHeight="1" x14ac:dyDescent="0.3">
      <c r="A4" s="19" t="s">
        <v>4</v>
      </c>
      <c r="B4" s="34">
        <v>585</v>
      </c>
      <c r="C4" s="32" t="s">
        <v>46</v>
      </c>
      <c r="E4" s="20" t="s">
        <v>10</v>
      </c>
      <c r="F4" s="24">
        <f>F5*(B3-0.8)/0.8</f>
        <v>52.5</v>
      </c>
      <c r="G4" s="39">
        <v>52.3</v>
      </c>
      <c r="H4" s="31" t="e" vm="3">
        <v>#VALUE!</v>
      </c>
      <c r="I4" s="36"/>
      <c r="J4" s="36"/>
      <c r="K4" s="16" t="s">
        <v>55</v>
      </c>
    </row>
    <row r="5" spans="1:13" ht="27.6" x14ac:dyDescent="0.3">
      <c r="A5" s="19" t="s">
        <v>48</v>
      </c>
      <c r="B5" s="33">
        <v>0.3</v>
      </c>
      <c r="C5" s="32" t="s">
        <v>75</v>
      </c>
      <c r="E5" s="20" t="s">
        <v>9</v>
      </c>
      <c r="F5" s="40">
        <v>10</v>
      </c>
      <c r="G5" s="20"/>
      <c r="H5" s="16" t="s">
        <v>54</v>
      </c>
    </row>
    <row r="6" spans="1:13" x14ac:dyDescent="0.3">
      <c r="A6" s="19" t="s">
        <v>12</v>
      </c>
      <c r="B6" s="33">
        <v>0.8</v>
      </c>
      <c r="C6" s="33"/>
      <c r="E6" s="20" t="s">
        <v>11</v>
      </c>
      <c r="F6" s="24">
        <f>(B8*B7)/(B6*0.8)</f>
        <v>15.624999999999996</v>
      </c>
      <c r="G6" s="20"/>
    </row>
    <row r="7" spans="1:13" x14ac:dyDescent="0.3">
      <c r="A7" s="19" t="s">
        <v>13</v>
      </c>
      <c r="B7" s="33">
        <v>2</v>
      </c>
      <c r="C7" s="33"/>
      <c r="E7" s="20" t="s">
        <v>16</v>
      </c>
      <c r="F7" s="24">
        <f>B3/(B2*B9)</f>
        <v>0.36764705882352944</v>
      </c>
      <c r="G7" s="20"/>
    </row>
    <row r="8" spans="1:13" ht="40.200000000000003" customHeight="1" x14ac:dyDescent="0.3">
      <c r="A8" s="19" t="s">
        <v>14</v>
      </c>
      <c r="B8" s="33">
        <v>5</v>
      </c>
      <c r="C8" s="33"/>
      <c r="E8" s="20" t="s">
        <v>17</v>
      </c>
      <c r="F8" s="24">
        <f>(B3*(B2-B3))/(B2*G3*B4)</f>
        <v>489.67236467236467</v>
      </c>
      <c r="G8" s="20"/>
      <c r="H8" s="31" t="e" vm="4">
        <v>#VALUE!</v>
      </c>
      <c r="I8" s="36"/>
      <c r="J8" s="36"/>
    </row>
    <row r="9" spans="1:13" x14ac:dyDescent="0.3">
      <c r="A9" s="19" t="s">
        <v>15</v>
      </c>
      <c r="B9" s="41">
        <v>0.85</v>
      </c>
      <c r="C9" s="33"/>
      <c r="E9" s="20" t="s">
        <v>45</v>
      </c>
      <c r="F9" s="24">
        <v>50</v>
      </c>
      <c r="G9" s="20"/>
      <c r="H9" s="16" t="s">
        <v>71</v>
      </c>
      <c r="J9" s="16" t="s">
        <v>72</v>
      </c>
    </row>
    <row r="10" spans="1:13" x14ac:dyDescent="0.3">
      <c r="A10" s="19" t="s">
        <v>50</v>
      </c>
      <c r="B10" s="34">
        <v>1500</v>
      </c>
      <c r="C10" s="33"/>
      <c r="E10" s="20" t="s">
        <v>20</v>
      </c>
      <c r="F10" s="24">
        <f>B10+F8/2</f>
        <v>1744.8361823361824</v>
      </c>
      <c r="H10" s="20" t="s">
        <v>21</v>
      </c>
    </row>
    <row r="11" spans="1:13" ht="40.799999999999997" customHeight="1" x14ac:dyDescent="0.3">
      <c r="A11" s="19" t="s">
        <v>24</v>
      </c>
      <c r="B11" s="20">
        <v>58</v>
      </c>
      <c r="C11" s="33"/>
      <c r="E11" s="20" t="s">
        <v>22</v>
      </c>
      <c r="F11" s="27">
        <f>(1/(8*B4))*(F8/F9)*10000</f>
        <v>20.926169430442936</v>
      </c>
      <c r="G11" s="39">
        <v>22</v>
      </c>
      <c r="H11" s="31" t="e" vm="5">
        <v>#VALUE!</v>
      </c>
      <c r="I11" s="36"/>
      <c r="J11" s="36"/>
      <c r="K11" s="37" t="s">
        <v>53</v>
      </c>
      <c r="L11" s="37"/>
    </row>
    <row r="12" spans="1:13" ht="41.4" customHeight="1" x14ac:dyDescent="0.3">
      <c r="A12" s="19" t="s">
        <v>30</v>
      </c>
      <c r="B12" s="20">
        <v>50</v>
      </c>
      <c r="C12" s="33" t="s">
        <v>44</v>
      </c>
      <c r="E12" s="20" t="s">
        <v>22</v>
      </c>
      <c r="F12" s="27">
        <f>(2*(B10*0.5))/(B4*(B2-B3))*100</f>
        <v>23.310023310023308</v>
      </c>
      <c r="G12" s="39">
        <v>23</v>
      </c>
      <c r="H12" s="31" t="e" vm="6">
        <v>#VALUE!</v>
      </c>
      <c r="I12" s="36"/>
      <c r="J12" s="36"/>
      <c r="K12" s="37"/>
      <c r="L12" s="37"/>
      <c r="M12" t="s">
        <v>70</v>
      </c>
    </row>
    <row r="13" spans="1:13" x14ac:dyDescent="0.3">
      <c r="A13" s="19" t="s">
        <v>61</v>
      </c>
      <c r="B13" s="20">
        <v>6</v>
      </c>
      <c r="C13" s="21" t="s">
        <v>62</v>
      </c>
    </row>
    <row r="14" spans="1:13" x14ac:dyDescent="0.3">
      <c r="A14" s="19" t="s">
        <v>66</v>
      </c>
      <c r="B14" s="20">
        <v>97</v>
      </c>
      <c r="C14" s="21" t="s">
        <v>62</v>
      </c>
      <c r="E14" s="20" t="s">
        <v>56</v>
      </c>
      <c r="F14" s="24" t="s">
        <v>58</v>
      </c>
      <c r="G14" s="20" t="s">
        <v>60</v>
      </c>
      <c r="H14" s="16" t="s">
        <v>57</v>
      </c>
      <c r="K14" s="16" t="s">
        <v>59</v>
      </c>
    </row>
    <row r="16" spans="1:13" ht="33.6" customHeight="1" x14ac:dyDescent="0.3">
      <c r="E16" s="20" t="s">
        <v>65</v>
      </c>
      <c r="F16" s="24">
        <f>B13*F17*1000/(2*PI()*(B4/10)*G11*F17)</f>
        <v>0.74198108667550278</v>
      </c>
      <c r="G16" s="20"/>
      <c r="H16" s="31" t="e" vm="7">
        <v>#VALUE!</v>
      </c>
      <c r="I16" s="30"/>
      <c r="J16" s="30"/>
    </row>
    <row r="17" spans="1:11" x14ac:dyDescent="0.3">
      <c r="A17" s="19" t="s">
        <v>37</v>
      </c>
      <c r="B17" s="20">
        <f>2.4/1000</f>
        <v>2.3999999999999998E-3</v>
      </c>
      <c r="C17" s="21" t="s">
        <v>36</v>
      </c>
      <c r="E17" s="20" t="s">
        <v>63</v>
      </c>
      <c r="F17" s="24">
        <f>B3/B10*1000</f>
        <v>3.3333333333333335</v>
      </c>
      <c r="G17" s="20"/>
    </row>
    <row r="18" spans="1:11" ht="42" customHeight="1" x14ac:dyDescent="0.3">
      <c r="A18" s="19" t="s">
        <v>40</v>
      </c>
      <c r="B18" s="24">
        <v>40</v>
      </c>
      <c r="C18" s="21" t="s">
        <v>41</v>
      </c>
      <c r="E18" s="20" t="s">
        <v>69</v>
      </c>
      <c r="F18" s="24">
        <f>B10/(2*PI()*B3*G11)*1000</f>
        <v>2170.2946785258455</v>
      </c>
      <c r="G18" s="20"/>
      <c r="H18" s="31" t="e" vm="8">
        <v>#VALUE!</v>
      </c>
      <c r="I18" s="30"/>
      <c r="J18" s="30"/>
      <c r="K18" s="16" t="s">
        <v>43</v>
      </c>
    </row>
    <row r="19" spans="1:11" x14ac:dyDescent="0.3">
      <c r="A19" s="19" t="s">
        <v>38</v>
      </c>
      <c r="B19" s="20">
        <f>B18*B17</f>
        <v>9.5999999999999988E-2</v>
      </c>
      <c r="C19" s="21" t="s">
        <v>39</v>
      </c>
      <c r="E19" s="20" t="s">
        <v>67</v>
      </c>
      <c r="F19" s="24">
        <f>B4/10</f>
        <v>58.5</v>
      </c>
      <c r="G19" s="20"/>
      <c r="H19" s="16" t="s">
        <v>42</v>
      </c>
      <c r="I19" s="16" t="s">
        <v>68</v>
      </c>
    </row>
    <row r="20" spans="1:11" x14ac:dyDescent="0.3">
      <c r="E20" s="20" t="s">
        <v>29</v>
      </c>
      <c r="F20" s="24">
        <f>1/(2*PI()*SQRT(G3*G11))</f>
        <v>9.7953096209561252</v>
      </c>
      <c r="G20" s="20"/>
    </row>
    <row r="21" spans="1:11" ht="28.2" customHeight="1" x14ac:dyDescent="0.3">
      <c r="E21" s="20" t="s">
        <v>64</v>
      </c>
      <c r="F21" s="40">
        <f>B3*1000/(F16*B6*B14)</f>
        <v>86.839126829253942</v>
      </c>
      <c r="G21" s="42" t="s">
        <v>73</v>
      </c>
      <c r="H21" s="31" t="e" vm="9">
        <v>#VALUE!</v>
      </c>
      <c r="I21" s="30"/>
    </row>
    <row r="22" spans="1:11" ht="33" customHeight="1" x14ac:dyDescent="0.3">
      <c r="E22" s="20" t="s">
        <v>77</v>
      </c>
      <c r="F22" s="40">
        <f>G11*B11/(F21)</f>
        <v>14.693837289600053</v>
      </c>
      <c r="G22" s="20"/>
      <c r="H22" s="31" t="e" vm="10">
        <v>#VALUE!</v>
      </c>
      <c r="I22" s="30"/>
    </row>
    <row r="23" spans="1:11" ht="32.4" customHeight="1" x14ac:dyDescent="0.3">
      <c r="E23" s="20" t="s">
        <v>76</v>
      </c>
      <c r="F23" s="40">
        <f>1000000000/(2*PI()*F21*F18)</f>
        <v>844.47340744827898</v>
      </c>
      <c r="G23" s="20" t="s">
        <v>74</v>
      </c>
      <c r="H23" s="31" t="e" vm="11">
        <v>#VALUE!</v>
      </c>
      <c r="I23" s="30"/>
    </row>
    <row r="24" spans="1:11" x14ac:dyDescent="0.3">
      <c r="E24" s="20" t="s">
        <v>33</v>
      </c>
      <c r="F24" s="24">
        <f>F8/(2*SQRT(3))</f>
        <v>141.35623577915518</v>
      </c>
      <c r="G24" s="20"/>
    </row>
    <row r="25" spans="1:11" x14ac:dyDescent="0.3">
      <c r="E25" s="20" t="s">
        <v>34</v>
      </c>
      <c r="F25" s="28">
        <v>2.5000000000000001E-3</v>
      </c>
      <c r="G25" s="20"/>
    </row>
  </sheetData>
  <mergeCells count="13">
    <mergeCell ref="H21:I21"/>
    <mergeCell ref="H23:I23"/>
    <mergeCell ref="H22:I22"/>
    <mergeCell ref="H8:J8"/>
    <mergeCell ref="H12:J12"/>
    <mergeCell ref="K11:L12"/>
    <mergeCell ref="H4:J4"/>
    <mergeCell ref="H18:J18"/>
    <mergeCell ref="H16:J16"/>
    <mergeCell ref="E1:F1"/>
    <mergeCell ref="H2:J2"/>
    <mergeCell ref="H3:K3"/>
    <mergeCell ref="H11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93502-BC7B-4038-881F-3492D7D21630}">
  <dimension ref="A1:L20"/>
  <sheetViews>
    <sheetView zoomScale="124" zoomScaleNormal="160" workbookViewId="0">
      <selection activeCell="G4" sqref="G4"/>
    </sheetView>
  </sheetViews>
  <sheetFormatPr defaultRowHeight="14.4" x14ac:dyDescent="0.3"/>
  <cols>
    <col min="1" max="1" width="24.5546875" style="16" customWidth="1"/>
    <col min="2" max="2" width="9.88671875" style="16" customWidth="1"/>
    <col min="3" max="3" width="22.5546875" style="16" customWidth="1"/>
    <col min="4" max="4" width="8.88671875" style="16"/>
    <col min="5" max="5" width="20.6640625" style="16" customWidth="1"/>
    <col min="6" max="6" width="8.44140625" style="29" customWidth="1"/>
    <col min="7" max="7" width="11.21875" style="16" customWidth="1"/>
    <col min="8" max="8" width="12" style="16" customWidth="1"/>
    <col min="9" max="12" width="8.88671875" style="16"/>
  </cols>
  <sheetData>
    <row r="1" spans="1:12" x14ac:dyDescent="0.3">
      <c r="A1" s="15" t="s">
        <v>0</v>
      </c>
      <c r="B1" s="15" t="s">
        <v>5</v>
      </c>
      <c r="C1" s="15" t="s">
        <v>6</v>
      </c>
      <c r="E1" s="17" t="s">
        <v>7</v>
      </c>
      <c r="F1" s="17"/>
      <c r="G1" s="18" t="s">
        <v>31</v>
      </c>
    </row>
    <row r="2" spans="1:12" ht="43.8" customHeight="1" x14ac:dyDescent="0.3">
      <c r="A2" s="19" t="s">
        <v>1</v>
      </c>
      <c r="B2" s="34">
        <v>36</v>
      </c>
      <c r="C2" s="33"/>
      <c r="E2" s="22" t="s">
        <v>3</v>
      </c>
      <c r="F2" s="23">
        <f>206033/(B4^1.0888)</f>
        <v>200.01265706102132</v>
      </c>
      <c r="G2" s="20"/>
      <c r="H2" s="31" t="e" vm="1">
        <v>#VALUE!</v>
      </c>
      <c r="I2" s="30"/>
      <c r="J2" s="30"/>
      <c r="K2" s="16" t="s">
        <v>47</v>
      </c>
    </row>
    <row r="3" spans="1:12" ht="37.200000000000003" customHeight="1" x14ac:dyDescent="0.3">
      <c r="A3" s="19" t="s">
        <v>2</v>
      </c>
      <c r="B3" s="34">
        <v>16</v>
      </c>
      <c r="C3" s="33"/>
      <c r="E3" s="20" t="s">
        <v>52</v>
      </c>
      <c r="F3" s="25">
        <f xml:space="preserve"> ((16-5)/(B5*B10))*(B3/(B2*B4))</f>
        <v>1.8571277830537089E-5</v>
      </c>
      <c r="G3" s="20">
        <f>20*10^-6</f>
        <v>1.9999999999999998E-5</v>
      </c>
      <c r="H3" s="31" t="e" vm="2">
        <v>#VALUE!</v>
      </c>
      <c r="I3" s="36"/>
      <c r="J3" s="36"/>
      <c r="K3" s="36"/>
      <c r="L3" s="16" t="s">
        <v>51</v>
      </c>
    </row>
    <row r="4" spans="1:12" ht="29.4" customHeight="1" x14ac:dyDescent="0.3">
      <c r="A4" s="19" t="s">
        <v>4</v>
      </c>
      <c r="B4" s="34">
        <v>585</v>
      </c>
      <c r="C4" s="32" t="s">
        <v>46</v>
      </c>
      <c r="E4" s="20" t="s">
        <v>10</v>
      </c>
      <c r="F4" s="24">
        <f>F5*(B3-0.8)/0.8</f>
        <v>190</v>
      </c>
      <c r="G4" s="20">
        <v>52.3</v>
      </c>
    </row>
    <row r="5" spans="1:12" x14ac:dyDescent="0.3">
      <c r="A5" s="19" t="s">
        <v>48</v>
      </c>
      <c r="B5" s="33">
        <v>0.3</v>
      </c>
      <c r="C5" s="35" t="s">
        <v>49</v>
      </c>
      <c r="E5" s="20" t="s">
        <v>9</v>
      </c>
      <c r="F5" s="24">
        <v>10</v>
      </c>
      <c r="G5" s="20"/>
    </row>
    <row r="6" spans="1:12" x14ac:dyDescent="0.3">
      <c r="A6" s="19" t="s">
        <v>12</v>
      </c>
      <c r="B6" s="20">
        <v>0.8</v>
      </c>
      <c r="C6" s="33"/>
      <c r="E6" s="20" t="s">
        <v>11</v>
      </c>
      <c r="F6" s="24">
        <f>(B8*B7)/(B6*0.8)</f>
        <v>15.624999999999996</v>
      </c>
      <c r="G6" s="20"/>
    </row>
    <row r="7" spans="1:12" x14ac:dyDescent="0.3">
      <c r="A7" s="19" t="s">
        <v>13</v>
      </c>
      <c r="B7" s="20">
        <v>2</v>
      </c>
      <c r="C7" s="33"/>
      <c r="E7" s="20" t="s">
        <v>16</v>
      </c>
      <c r="F7" s="24">
        <f>B3/(B2*B9)</f>
        <v>0.52287581699346408</v>
      </c>
      <c r="G7" s="20"/>
    </row>
    <row r="8" spans="1:12" x14ac:dyDescent="0.3">
      <c r="A8" s="19" t="s">
        <v>14</v>
      </c>
      <c r="B8" s="20">
        <v>5</v>
      </c>
      <c r="C8" s="33"/>
      <c r="E8" s="20" t="s">
        <v>17</v>
      </c>
      <c r="F8" s="24">
        <f>(B2-B3)*F7/(B4*G3)</f>
        <v>893.80481537344292</v>
      </c>
      <c r="G8" s="20"/>
      <c r="H8" s="16" t="s">
        <v>32</v>
      </c>
    </row>
    <row r="9" spans="1:12" x14ac:dyDescent="0.3">
      <c r="A9" s="19" t="s">
        <v>15</v>
      </c>
      <c r="B9" s="26">
        <v>0.85</v>
      </c>
      <c r="C9" s="33"/>
      <c r="E9" s="20" t="s">
        <v>45</v>
      </c>
      <c r="F9" s="24">
        <f>F8*B11/1000</f>
        <v>51.84067929165969</v>
      </c>
      <c r="G9" s="20"/>
    </row>
    <row r="10" spans="1:12" x14ac:dyDescent="0.3">
      <c r="A10" s="19" t="s">
        <v>50</v>
      </c>
      <c r="B10" s="34">
        <v>1500</v>
      </c>
      <c r="C10" s="33"/>
      <c r="E10" s="20" t="s">
        <v>20</v>
      </c>
      <c r="F10" s="24">
        <f>B10+F8/2</f>
        <v>1946.9024076867215</v>
      </c>
      <c r="H10" s="20" t="s">
        <v>21</v>
      </c>
    </row>
    <row r="11" spans="1:12" x14ac:dyDescent="0.3">
      <c r="A11" s="19" t="s">
        <v>24</v>
      </c>
      <c r="B11" s="20">
        <v>58</v>
      </c>
      <c r="C11" s="33"/>
      <c r="E11" s="20" t="s">
        <v>22</v>
      </c>
      <c r="F11" s="27">
        <f>((B2-F7)*F7)/(8*B4*F20)</f>
        <v>1.5854812215186429</v>
      </c>
      <c r="G11" s="20">
        <v>49</v>
      </c>
      <c r="H11" s="16">
        <f>2*B10/(B4*F9)</f>
        <v>9.8922413793103445E-2</v>
      </c>
    </row>
    <row r="12" spans="1:12" x14ac:dyDescent="0.3">
      <c r="A12" s="19" t="s">
        <v>30</v>
      </c>
      <c r="B12" s="20">
        <v>50</v>
      </c>
      <c r="C12" s="33" t="s">
        <v>44</v>
      </c>
      <c r="E12" s="20" t="s">
        <v>23</v>
      </c>
      <c r="F12" s="24">
        <f>B3/B10*1000</f>
        <v>10.666666666666666</v>
      </c>
      <c r="G12" s="20"/>
    </row>
    <row r="13" spans="1:12" x14ac:dyDescent="0.3">
      <c r="E13" s="20" t="s">
        <v>25</v>
      </c>
      <c r="F13" s="24">
        <f>1/(2*PI()*G11*F12)*10^6</f>
        <v>304.50563091561611</v>
      </c>
      <c r="G13" s="20"/>
      <c r="H13" s="16" t="s">
        <v>43</v>
      </c>
    </row>
    <row r="14" spans="1:12" x14ac:dyDescent="0.3">
      <c r="E14" s="20" t="s">
        <v>35</v>
      </c>
      <c r="F14" s="24">
        <f>B4*0.5</f>
        <v>292.5</v>
      </c>
      <c r="G14" s="20"/>
      <c r="H14" s="16" t="s">
        <v>42</v>
      </c>
    </row>
    <row r="15" spans="1:12" x14ac:dyDescent="0.3">
      <c r="E15" s="20" t="s">
        <v>29</v>
      </c>
      <c r="F15" s="24">
        <f>1/(2*PI()*SQRT(G3*G11))</f>
        <v>5.0840181672655502</v>
      </c>
      <c r="G15" s="20"/>
    </row>
    <row r="16" spans="1:12" x14ac:dyDescent="0.3">
      <c r="E16" s="20" t="s">
        <v>26</v>
      </c>
      <c r="F16" s="24">
        <v>15</v>
      </c>
      <c r="G16" s="20"/>
    </row>
    <row r="17" spans="1:7" x14ac:dyDescent="0.3">
      <c r="A17" s="19" t="s">
        <v>37</v>
      </c>
      <c r="B17" s="20">
        <f>2.4/1000</f>
        <v>2.3999999999999998E-3</v>
      </c>
      <c r="C17" s="21" t="s">
        <v>36</v>
      </c>
      <c r="E17" s="20" t="s">
        <v>27</v>
      </c>
      <c r="F17" s="24">
        <f>1/(2*PI()*F16*F15)*1000</f>
        <v>2.0869967789998038</v>
      </c>
      <c r="G17" s="20"/>
    </row>
    <row r="18" spans="1:7" x14ac:dyDescent="0.3">
      <c r="A18" s="19" t="s">
        <v>40</v>
      </c>
      <c r="B18" s="24">
        <v>40</v>
      </c>
      <c r="C18" s="21" t="s">
        <v>41</v>
      </c>
      <c r="E18" s="20" t="s">
        <v>28</v>
      </c>
      <c r="F18" s="24">
        <f>1/(2*PI()*F16*F14)*10^6</f>
        <v>36.274630904135698</v>
      </c>
      <c r="G18" s="20"/>
    </row>
    <row r="19" spans="1:7" x14ac:dyDescent="0.3">
      <c r="A19" s="19" t="s">
        <v>38</v>
      </c>
      <c r="B19" s="20">
        <f>B18*B17</f>
        <v>9.5999999999999988E-2</v>
      </c>
      <c r="C19" s="21" t="s">
        <v>39</v>
      </c>
      <c r="E19" s="20" t="s">
        <v>33</v>
      </c>
      <c r="F19" s="24">
        <f>F8/(2*SQRT(3))</f>
        <v>258.0192253794205</v>
      </c>
      <c r="G19" s="20"/>
    </row>
    <row r="20" spans="1:7" x14ac:dyDescent="0.3">
      <c r="E20" s="20" t="s">
        <v>34</v>
      </c>
      <c r="F20" s="28">
        <v>2.5000000000000001E-3</v>
      </c>
      <c r="G20" s="20"/>
    </row>
  </sheetData>
  <mergeCells count="3">
    <mergeCell ref="E1:F1"/>
    <mergeCell ref="H2:J2"/>
    <mergeCell ref="H3:K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0"/>
  <sheetViews>
    <sheetView zoomScale="134" zoomScaleNormal="160" workbookViewId="0">
      <selection activeCell="H12" sqref="H12"/>
    </sheetView>
  </sheetViews>
  <sheetFormatPr defaultRowHeight="14.4" x14ac:dyDescent="0.3"/>
  <cols>
    <col min="1" max="1" width="24.5546875" customWidth="1"/>
    <col min="2" max="2" width="9.88671875" customWidth="1"/>
    <col min="3" max="3" width="17.44140625" customWidth="1"/>
    <col min="5" max="5" width="20.6640625" customWidth="1"/>
    <col min="6" max="6" width="8.44140625" style="9" customWidth="1"/>
    <col min="7" max="7" width="11.21875" customWidth="1"/>
    <col min="8" max="8" width="12" customWidth="1"/>
  </cols>
  <sheetData>
    <row r="1" spans="1:8" x14ac:dyDescent="0.3">
      <c r="A1" s="3" t="s">
        <v>0</v>
      </c>
      <c r="B1" s="3" t="s">
        <v>5</v>
      </c>
      <c r="C1" s="3" t="s">
        <v>6</v>
      </c>
      <c r="E1" s="14" t="s">
        <v>7</v>
      </c>
      <c r="F1" s="14"/>
      <c r="G1" s="13" t="s">
        <v>31</v>
      </c>
    </row>
    <row r="2" spans="1:8" x14ac:dyDescent="0.3">
      <c r="A2" s="2" t="s">
        <v>1</v>
      </c>
      <c r="B2" s="1">
        <v>16</v>
      </c>
      <c r="C2" s="4"/>
      <c r="E2" s="11" t="s">
        <v>3</v>
      </c>
      <c r="F2" s="12">
        <f>206033/(B4^1.0888)</f>
        <v>200.01265706102132</v>
      </c>
      <c r="G2" s="1"/>
    </row>
    <row r="3" spans="1:8" x14ac:dyDescent="0.3">
      <c r="A3" s="2" t="s">
        <v>2</v>
      </c>
      <c r="B3" s="1">
        <v>5</v>
      </c>
      <c r="C3" s="4"/>
      <c r="E3" s="1" t="s">
        <v>10</v>
      </c>
      <c r="F3" s="8">
        <f>F4*(B3-0.8)/0.8</f>
        <v>52.5</v>
      </c>
      <c r="G3" s="1">
        <v>52.3</v>
      </c>
    </row>
    <row r="4" spans="1:8" x14ac:dyDescent="0.3">
      <c r="A4" s="2" t="s">
        <v>4</v>
      </c>
      <c r="B4" s="1">
        <v>585</v>
      </c>
      <c r="C4" s="4" t="s">
        <v>8</v>
      </c>
      <c r="E4" s="1" t="s">
        <v>9</v>
      </c>
      <c r="F4" s="8">
        <v>10</v>
      </c>
      <c r="G4" s="1"/>
    </row>
    <row r="5" spans="1:8" x14ac:dyDescent="0.3">
      <c r="A5" s="2" t="s">
        <v>12</v>
      </c>
      <c r="B5" s="1">
        <v>0.8</v>
      </c>
      <c r="C5" s="4"/>
      <c r="E5" s="1" t="s">
        <v>11</v>
      </c>
      <c r="F5" s="8">
        <f>(B7*B6)/(B5*0.8)</f>
        <v>15.624999999999996</v>
      </c>
      <c r="G5" s="1"/>
    </row>
    <row r="6" spans="1:8" x14ac:dyDescent="0.3">
      <c r="A6" s="2" t="s">
        <v>13</v>
      </c>
      <c r="B6" s="1">
        <v>2</v>
      </c>
      <c r="C6" s="4"/>
      <c r="E6" s="1" t="s">
        <v>16</v>
      </c>
      <c r="F6" s="8">
        <f>B3/(B2*B8)</f>
        <v>0.36764705882352944</v>
      </c>
      <c r="G6" s="1"/>
    </row>
    <row r="7" spans="1:8" x14ac:dyDescent="0.3">
      <c r="A7" s="2" t="s">
        <v>14</v>
      </c>
      <c r="B7" s="1">
        <v>5</v>
      </c>
      <c r="C7" s="4"/>
      <c r="E7" s="1" t="s">
        <v>19</v>
      </c>
      <c r="F7" s="10">
        <f xml:space="preserve"> ((16-5)/(0.3*B9))*(B3/(B2*B4))</f>
        <v>1.3057929724596393E-5</v>
      </c>
      <c r="G7" s="1">
        <f>1.2*10^-5</f>
        <v>1.2E-5</v>
      </c>
    </row>
    <row r="8" spans="1:8" x14ac:dyDescent="0.3">
      <c r="A8" s="2" t="s">
        <v>15</v>
      </c>
      <c r="B8" s="5">
        <v>0.85</v>
      </c>
      <c r="C8" s="4"/>
      <c r="E8" s="1" t="s">
        <v>17</v>
      </c>
      <c r="F8" s="8">
        <f>(B2-B3)*F6/(B4*G7)</f>
        <v>576.08513490866437</v>
      </c>
      <c r="G8" s="1"/>
      <c r="H8" t="s">
        <v>32</v>
      </c>
    </row>
    <row r="9" spans="1:8" x14ac:dyDescent="0.3">
      <c r="A9" s="2" t="s">
        <v>18</v>
      </c>
      <c r="B9" s="1">
        <v>1500</v>
      </c>
      <c r="C9" s="4"/>
      <c r="E9" s="1" t="s">
        <v>45</v>
      </c>
      <c r="F9" s="8">
        <f>F8*B10/1000</f>
        <v>33.412937824702531</v>
      </c>
      <c r="G9" s="1"/>
    </row>
    <row r="10" spans="1:8" x14ac:dyDescent="0.3">
      <c r="A10" s="2" t="s">
        <v>24</v>
      </c>
      <c r="B10" s="1">
        <v>58</v>
      </c>
      <c r="C10" s="4"/>
      <c r="E10" s="1" t="s">
        <v>20</v>
      </c>
      <c r="F10" s="8">
        <f>B9+F8/2</f>
        <v>1788.0425674543321</v>
      </c>
      <c r="H10" s="1" t="s">
        <v>21</v>
      </c>
    </row>
    <row r="11" spans="1:8" x14ac:dyDescent="0.3">
      <c r="A11" s="2" t="s">
        <v>30</v>
      </c>
      <c r="B11" s="1">
        <v>50</v>
      </c>
      <c r="C11" s="4" t="s">
        <v>44</v>
      </c>
      <c r="E11" s="1" t="s">
        <v>22</v>
      </c>
      <c r="F11" s="6">
        <f>((B2-F6)*F6)/(8*B4*F20)</f>
        <v>0.49121269925768196</v>
      </c>
      <c r="G11" s="1">
        <v>49</v>
      </c>
      <c r="H11">
        <f>2*B9/(B4*F9)</f>
        <v>0.15347962382445141</v>
      </c>
    </row>
    <row r="12" spans="1:8" x14ac:dyDescent="0.3">
      <c r="E12" s="1" t="s">
        <v>23</v>
      </c>
      <c r="F12" s="8">
        <f>B3/B9*1000</f>
        <v>3.3333333333333335</v>
      </c>
      <c r="G12" s="1"/>
    </row>
    <row r="13" spans="1:8" x14ac:dyDescent="0.3">
      <c r="E13" s="1" t="s">
        <v>25</v>
      </c>
      <c r="F13" s="8">
        <f>1/(2*PI()*G11*F12)*10^6</f>
        <v>974.41801892997148</v>
      </c>
      <c r="G13" s="1"/>
      <c r="H13" t="s">
        <v>43</v>
      </c>
    </row>
    <row r="14" spans="1:8" x14ac:dyDescent="0.3">
      <c r="E14" s="1" t="s">
        <v>35</v>
      </c>
      <c r="F14" s="8">
        <f>B4*0.5</f>
        <v>292.5</v>
      </c>
      <c r="G14" s="1"/>
      <c r="H14" t="s">
        <v>42</v>
      </c>
    </row>
    <row r="15" spans="1:8" x14ac:dyDescent="0.3">
      <c r="E15" s="1" t="s">
        <v>29</v>
      </c>
      <c r="F15" s="8">
        <f>1/(2*PI()*SQRT(G7*G11))</f>
        <v>6.5634392312118104</v>
      </c>
      <c r="G15" s="1"/>
    </row>
    <row r="16" spans="1:8" x14ac:dyDescent="0.3">
      <c r="E16" s="1" t="s">
        <v>26</v>
      </c>
      <c r="F16" s="8">
        <v>15</v>
      </c>
      <c r="G16" s="1"/>
    </row>
    <row r="17" spans="1:7" x14ac:dyDescent="0.3">
      <c r="A17" s="2" t="s">
        <v>37</v>
      </c>
      <c r="B17" s="1">
        <f>2.4/1000</f>
        <v>2.3999999999999998E-3</v>
      </c>
      <c r="C17" s="4" t="s">
        <v>36</v>
      </c>
      <c r="E17" s="1" t="s">
        <v>27</v>
      </c>
      <c r="F17" s="8">
        <f>1/(2*PI()*F16*F15)*1000</f>
        <v>1.6165807537309522</v>
      </c>
      <c r="G17" s="1"/>
    </row>
    <row r="18" spans="1:7" x14ac:dyDescent="0.3">
      <c r="A18" s="2" t="s">
        <v>40</v>
      </c>
      <c r="B18" s="8">
        <v>40</v>
      </c>
      <c r="C18" s="4" t="s">
        <v>41</v>
      </c>
      <c r="E18" s="1" t="s">
        <v>28</v>
      </c>
      <c r="F18" s="8">
        <f>1/(2*PI()*F16*F14)*10^6</f>
        <v>36.274630904135698</v>
      </c>
      <c r="G18" s="1"/>
    </row>
    <row r="19" spans="1:7" x14ac:dyDescent="0.3">
      <c r="A19" s="2" t="s">
        <v>38</v>
      </c>
      <c r="B19" s="1">
        <f>B18*B17</f>
        <v>9.5999999999999988E-2</v>
      </c>
      <c r="C19" s="4" t="s">
        <v>39</v>
      </c>
      <c r="E19" s="1" t="s">
        <v>33</v>
      </c>
      <c r="F19" s="8">
        <f>F8/(2*SQRT(3))</f>
        <v>166.30145385782964</v>
      </c>
      <c r="G19" s="1"/>
    </row>
    <row r="20" spans="1:7" x14ac:dyDescent="0.3">
      <c r="E20" s="1" t="s">
        <v>34</v>
      </c>
      <c r="F20" s="7">
        <v>2.5000000000000001E-3</v>
      </c>
      <c r="G20" s="1"/>
    </row>
  </sheetData>
  <mergeCells count="1">
    <mergeCell ref="E1:F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16 to 5</vt:lpstr>
      <vt:lpstr>36 to 16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Ángel</dc:creator>
  <cp:lastModifiedBy>Ángel Pelegry</cp:lastModifiedBy>
  <dcterms:created xsi:type="dcterms:W3CDTF">2015-06-05T18:17:20Z</dcterms:created>
  <dcterms:modified xsi:type="dcterms:W3CDTF">2026-05-05T22:11:27Z</dcterms:modified>
</cp:coreProperties>
</file>